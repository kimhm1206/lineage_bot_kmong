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혈맹원 정보" sheetId="1" r:id="rId5"/>
    <sheet state="visible" name="보탐 참여율" sheetId="2" r:id="rId6"/>
    <sheet state="visible" name="아이템 분배 순서" sheetId="3" r:id="rId7"/>
    <sheet state="visible" name="건들지말것" sheetId="4" r:id="rId8"/>
    <sheet state="visible" name="월별 보탐참여율" sheetId="5" r:id="rId9"/>
    <sheet state="visible" name="애로사항" sheetId="6" r:id="rId10"/>
  </sheets>
  <definedNames/>
  <calcPr/>
</workbook>
</file>

<file path=xl/sharedStrings.xml><?xml version="1.0" encoding="utf-8"?>
<sst xmlns="http://schemas.openxmlformats.org/spreadsheetml/2006/main" count="4494" uniqueCount="196">
  <si>
    <t>닉네임</t>
  </si>
  <si>
    <t>직책</t>
  </si>
  <si>
    <t>클래스</t>
  </si>
  <si>
    <t>속성</t>
  </si>
  <si>
    <t>디코고유id</t>
  </si>
  <si>
    <t>연락처</t>
  </si>
  <si>
    <t>특이사항</t>
  </si>
  <si>
    <t>특이사황ㄹ</t>
  </si>
  <si>
    <t>개백수</t>
  </si>
  <si>
    <t>혈맹원</t>
  </si>
  <si>
    <t>기사</t>
  </si>
  <si>
    <t>속성X</t>
  </si>
  <si>
    <t>1053683139056255027</t>
  </si>
  <si>
    <t>김현지</t>
  </si>
  <si>
    <t>마법사</t>
  </si>
  <si>
    <t>1482308176677437453</t>
  </si>
  <si>
    <t>꽃냥</t>
  </si>
  <si>
    <t>1346882990118273115</t>
  </si>
  <si>
    <t>다뢰</t>
  </si>
  <si>
    <t>요정</t>
  </si>
  <si>
    <t>땅</t>
  </si>
  <si>
    <t>376298390822060034</t>
  </si>
  <si>
    <t>꼬치</t>
  </si>
  <si>
    <t>닥스</t>
  </si>
  <si>
    <t>312126990935130124</t>
  </si>
  <si>
    <t>당구장</t>
  </si>
  <si>
    <t>1262879302110937170</t>
  </si>
  <si>
    <t>대곡주</t>
  </si>
  <si>
    <t>1331168014845874209</t>
  </si>
  <si>
    <t>덱스</t>
  </si>
  <si>
    <t>569894354504777749</t>
  </si>
  <si>
    <t>두끗</t>
  </si>
  <si>
    <t>388675531538956289</t>
  </si>
  <si>
    <t>두둥탁</t>
  </si>
  <si>
    <t>790465405164453908</t>
  </si>
  <si>
    <t>대방이</t>
  </si>
  <si>
    <t>드레이크</t>
  </si>
  <si>
    <t>711844803767435315</t>
  </si>
  <si>
    <t>대위덕명왕</t>
  </si>
  <si>
    <t>010-9183-9630</t>
  </si>
  <si>
    <t>드레이크1</t>
  </si>
  <si>
    <t>382752304962469890</t>
  </si>
  <si>
    <t>또가스</t>
  </si>
  <si>
    <t>426032303555477505</t>
  </si>
  <si>
    <t>레오나르도</t>
  </si>
  <si>
    <t>330757131504582658</t>
  </si>
  <si>
    <t>민창</t>
  </si>
  <si>
    <t>561208372171505683</t>
  </si>
  <si>
    <t>밀떡</t>
  </si>
  <si>
    <t>1483830618507841587</t>
  </si>
  <si>
    <t>뱀</t>
  </si>
  <si>
    <t>442636969193766924</t>
  </si>
  <si>
    <t>복식</t>
  </si>
  <si>
    <t>바람</t>
  </si>
  <si>
    <t>1108135082461511814</t>
  </si>
  <si>
    <t>밀끄</t>
  </si>
  <si>
    <t>비에고</t>
  </si>
  <si>
    <t>939455236739837982</t>
  </si>
  <si>
    <t>새롬</t>
  </si>
  <si>
    <t>914856849310900234</t>
  </si>
  <si>
    <t>버프의신</t>
  </si>
  <si>
    <t>세끗</t>
  </si>
  <si>
    <t>1490259813962350592</t>
  </si>
  <si>
    <t>세이버</t>
  </si>
  <si>
    <t>1278304254955884730</t>
  </si>
  <si>
    <t>복쫄</t>
  </si>
  <si>
    <t>스타</t>
  </si>
  <si>
    <t>397696170346151946</t>
  </si>
  <si>
    <t>스타1</t>
  </si>
  <si>
    <t>612606740541997066</t>
  </si>
  <si>
    <t>스타부주1</t>
  </si>
  <si>
    <t>비에고1</t>
  </si>
  <si>
    <t>스팸라이트</t>
  </si>
  <si>
    <t>1489588682376613888</t>
  </si>
  <si>
    <t>뽀둥뽀둥</t>
  </si>
  <si>
    <t>시드랏슈</t>
  </si>
  <si>
    <t>부군주</t>
  </si>
  <si>
    <t>583263839856885770</t>
  </si>
  <si>
    <t>시진핑</t>
  </si>
  <si>
    <t>1343575157842640957</t>
  </si>
  <si>
    <t>신문</t>
  </si>
  <si>
    <t>661750424591663134</t>
  </si>
  <si>
    <t>쌀떡</t>
  </si>
  <si>
    <t>1487057737832464544</t>
  </si>
  <si>
    <t>썽이</t>
  </si>
  <si>
    <t>576257871612870656</t>
  </si>
  <si>
    <t>드레이크 썽이</t>
  </si>
  <si>
    <t>쑥떡</t>
  </si>
  <si>
    <t>373116772166926337</t>
  </si>
  <si>
    <t>아스테어</t>
  </si>
  <si>
    <t>538344294579437598</t>
  </si>
  <si>
    <t>악당</t>
  </si>
  <si>
    <t>366506563957030913</t>
  </si>
  <si>
    <t>악당1</t>
  </si>
  <si>
    <t>악당 부주 조커</t>
  </si>
  <si>
    <t>어쩐지</t>
  </si>
  <si>
    <t>721281407288213544</t>
  </si>
  <si>
    <t>악풍</t>
  </si>
  <si>
    <t>얼음여왕</t>
  </si>
  <si>
    <t>865842387347046440</t>
  </si>
  <si>
    <t>안선호</t>
  </si>
  <si>
    <t>에바</t>
  </si>
  <si>
    <t>1353407800679596115</t>
  </si>
  <si>
    <t>역도</t>
  </si>
  <si>
    <t>346930383591571457</t>
  </si>
  <si>
    <t>요요미</t>
  </si>
  <si>
    <t>553214590926848000</t>
  </si>
  <si>
    <t>010-5112-5979</t>
  </si>
  <si>
    <t>유니세프</t>
  </si>
  <si>
    <t>986275047322816572</t>
  </si>
  <si>
    <t>육떡</t>
  </si>
  <si>
    <t>335064580977852417</t>
  </si>
  <si>
    <t>윤짱</t>
  </si>
  <si>
    <t>505937958256246784</t>
  </si>
  <si>
    <t>윤겔라</t>
  </si>
  <si>
    <t>이중</t>
  </si>
  <si>
    <t>853460881970036746</t>
  </si>
  <si>
    <t>010-7643-5814</t>
  </si>
  <si>
    <t>자자</t>
  </si>
  <si>
    <t>1020371875743924264</t>
  </si>
  <si>
    <t>자자1</t>
  </si>
  <si>
    <t>844817980709011477</t>
  </si>
  <si>
    <t>자자 누나 부주</t>
  </si>
  <si>
    <t>잭스</t>
  </si>
  <si>
    <t>398886665118285824</t>
  </si>
  <si>
    <t>전생</t>
  </si>
  <si>
    <t>331857804920881174</t>
  </si>
  <si>
    <t>저팔게</t>
  </si>
  <si>
    <t>졋탱</t>
  </si>
  <si>
    <t>1066680050600120320</t>
  </si>
  <si>
    <t>010-6318-5446</t>
  </si>
  <si>
    <t>주짱</t>
  </si>
  <si>
    <t>759374340306632705</t>
  </si>
  <si>
    <t>쥬드</t>
  </si>
  <si>
    <t>불</t>
  </si>
  <si>
    <t>886218457845223474</t>
  </si>
  <si>
    <t>최민우</t>
  </si>
  <si>
    <t>1482709604847718581</t>
  </si>
  <si>
    <t>최선미</t>
  </si>
  <si>
    <t>1211512803706540084</t>
  </si>
  <si>
    <t>찬우</t>
  </si>
  <si>
    <t>턳</t>
  </si>
  <si>
    <t>1213641288390414410</t>
  </si>
  <si>
    <t>010-5966-3237</t>
  </si>
  <si>
    <t>파아그리오</t>
  </si>
  <si>
    <t>420889565725851649</t>
  </si>
  <si>
    <t>팽자</t>
  </si>
  <si>
    <t>1261275854508396708</t>
  </si>
  <si>
    <t>캐스톨</t>
  </si>
  <si>
    <t>포카칩</t>
  </si>
  <si>
    <t>군주</t>
  </si>
  <si>
    <t>하아이</t>
  </si>
  <si>
    <t>322353660938158081</t>
  </si>
  <si>
    <t>한끗</t>
  </si>
  <si>
    <t>368726909011361793</t>
  </si>
  <si>
    <t>해하</t>
  </si>
  <si>
    <t>1392309791916818543</t>
  </si>
  <si>
    <t>화장실</t>
  </si>
  <si>
    <t>496286834309988381</t>
  </si>
  <si>
    <t>ECO</t>
  </si>
  <si>
    <t>1005629884246282301</t>
  </si>
  <si>
    <t>010-5518-7977</t>
  </si>
  <si>
    <t>OSAKA</t>
  </si>
  <si>
    <t>310008488245985292</t>
  </si>
  <si>
    <t>헤이헤이군주</t>
  </si>
  <si>
    <t>흑마술사</t>
  </si>
  <si>
    <t>010-6704-5846</t>
  </si>
  <si>
    <t>힘</t>
  </si>
  <si>
    <t>26.05.04.19시</t>
  </si>
  <si>
    <t>26.5.4일19시부터 보탐 자동체크</t>
  </si>
  <si>
    <t>월별 보탐참여율 기록</t>
  </si>
  <si>
    <t>보는 방법
닉네임/참여율순위</t>
  </si>
  <si>
    <t>1282067308185124977</t>
  </si>
  <si>
    <t>243416880444866570</t>
  </si>
  <si>
    <t>408991333340938242</t>
  </si>
  <si>
    <t>1442816833827901531</t>
  </si>
  <si>
    <t>월별 보탐 참여율 순위</t>
  </si>
  <si>
    <t>순위</t>
  </si>
  <si>
    <t>1위</t>
  </si>
  <si>
    <t>2위</t>
  </si>
  <si>
    <t>3위</t>
  </si>
  <si>
    <t>4위</t>
  </si>
  <si>
    <t>5위</t>
  </si>
  <si>
    <t>6위</t>
  </si>
  <si>
    <t>7위</t>
  </si>
  <si>
    <t>8위</t>
  </si>
  <si>
    <t>9위</t>
  </si>
  <si>
    <t>10위</t>
  </si>
  <si>
    <t>교랑</t>
  </si>
  <si>
    <t>파도</t>
  </si>
  <si>
    <t>쓰레빠</t>
  </si>
  <si>
    <t>수</t>
  </si>
  <si>
    <t>듀크데필</t>
  </si>
  <si>
    <t>르비</t>
  </si>
  <si>
    <t>문다</t>
  </si>
  <si>
    <t>내가군터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</si>
</sst>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#########################"/>
    <numFmt numFmtId="165" formatCode="yyyy-mm"/>
  </numFmts>
  <fonts count="10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sz val="10.0"/>
      <color theme="1"/>
      <name val="Arial"/>
    </font>
    <font>
      <sz val="10.0"/>
      <color theme="1"/>
      <name val="&quot;gg sans&quot;"/>
    </font>
    <font>
      <b/>
      <sz val="20.0"/>
      <color theme="1"/>
      <name val="Arial"/>
      <scheme val="minor"/>
    </font>
    <font>
      <sz val="15.0"/>
      <color theme="1"/>
      <name val="Arial"/>
      <scheme val="minor"/>
    </font>
    <font>
      <b/>
      <sz val="17.0"/>
      <color theme="1"/>
      <name val="Arial"/>
      <scheme val="minor"/>
    </font>
    <font>
      <sz val="18.0"/>
      <color rgb="FFFFFFFF"/>
      <name val="Arial"/>
      <scheme val="minor"/>
    </font>
    <font>
      <sz val="20.0"/>
      <color theme="1"/>
      <name val="Arial"/>
      <scheme val="minor"/>
    </font>
  </fonts>
  <fills count="21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F3F3F3"/>
        <bgColor rgb="FFF3F3F3"/>
      </patternFill>
    </fill>
    <fill>
      <patternFill patternType="solid">
        <fgColor rgb="FFB6D7A8"/>
        <bgColor rgb="FFB6D7A8"/>
      </patternFill>
    </fill>
    <fill>
      <patternFill patternType="solid">
        <fgColor rgb="FF980000"/>
        <bgColor rgb="FF980000"/>
      </patternFill>
    </fill>
    <fill>
      <patternFill patternType="solid">
        <fgColor rgb="FFFF9900"/>
        <bgColor rgb="FFFF9900"/>
      </patternFill>
    </fill>
    <fill>
      <patternFill patternType="solid">
        <fgColor rgb="FF00FFFF"/>
        <bgColor rgb="FF00FFFF"/>
      </patternFill>
    </fill>
    <fill>
      <patternFill patternType="solid">
        <fgColor rgb="FFFF0000"/>
        <bgColor rgb="FFFF0000"/>
      </patternFill>
    </fill>
    <fill>
      <patternFill patternType="solid">
        <fgColor rgb="FFE06666"/>
        <bgColor rgb="FFE06666"/>
      </patternFill>
    </fill>
    <fill>
      <patternFill patternType="solid">
        <fgColor rgb="FF6AA84F"/>
        <bgColor rgb="FF6AA84F"/>
      </patternFill>
    </fill>
    <fill>
      <patternFill patternType="solid">
        <fgColor rgb="FF6D9EEB"/>
        <bgColor rgb="FF6D9EEB"/>
      </patternFill>
    </fill>
    <fill>
      <patternFill patternType="solid">
        <fgColor rgb="FF000000"/>
        <bgColor rgb="FF000000"/>
      </patternFill>
    </fill>
    <fill>
      <patternFill patternType="solid">
        <fgColor rgb="FFF1C232"/>
        <bgColor rgb="FFF1C232"/>
      </patternFill>
    </fill>
    <fill>
      <patternFill patternType="solid">
        <fgColor rgb="FFFFD966"/>
        <bgColor rgb="FFFFD966"/>
      </patternFill>
    </fill>
    <fill>
      <patternFill patternType="solid">
        <fgColor rgb="FFD9D9D9"/>
        <bgColor rgb="FFD9D9D9"/>
      </patternFill>
    </fill>
    <fill>
      <patternFill patternType="solid">
        <fgColor rgb="FFE69138"/>
        <bgColor rgb="FFE69138"/>
      </patternFill>
    </fill>
    <fill>
      <patternFill patternType="solid">
        <fgColor rgb="FF1155CC"/>
        <bgColor rgb="FF1155CC"/>
      </patternFill>
    </fill>
    <fill>
      <patternFill patternType="solid">
        <fgColor rgb="FF00FF00"/>
        <bgColor rgb="FF00FF00"/>
      </patternFill>
    </fill>
    <fill>
      <patternFill patternType="solid">
        <fgColor rgb="FFFFE599"/>
        <bgColor rgb="FFFFE599"/>
      </patternFill>
    </fill>
    <fill>
      <patternFill patternType="solid">
        <fgColor rgb="FFA4C2F4"/>
        <bgColor rgb="FFA4C2F4"/>
      </patternFill>
    </fill>
  </fills>
  <borders count="1">
    <border/>
  </borders>
  <cellStyleXfs count="1">
    <xf borderId="0" fillId="0" fontId="0" numFmtId="0" applyAlignment="1" applyFont="1"/>
  </cellStyleXfs>
  <cellXfs count="6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2" fontId="2" numFmtId="0" xfId="0" applyAlignment="1" applyFill="1" applyFont="1">
      <alignment readingOrder="0" shrinkToFit="0" vertical="center" wrapText="0"/>
    </xf>
    <xf borderId="0" fillId="3" fontId="2" numFmtId="0" xfId="0" applyAlignment="1" applyFill="1" applyFont="1">
      <alignment readingOrder="0" shrinkToFit="0" vertical="center" wrapText="0"/>
    </xf>
    <xf borderId="0" fillId="0" fontId="3" numFmtId="49" xfId="0" applyAlignment="1" applyFont="1" applyNumberFormat="1">
      <alignment readingOrder="0" shrinkToFit="0" vertical="center" wrapText="0"/>
    </xf>
    <xf borderId="0" fillId="0" fontId="2" numFmtId="0" xfId="0" applyFont="1"/>
    <xf borderId="0" fillId="2" fontId="2" numFmtId="0" xfId="0" applyAlignment="1" applyFont="1">
      <alignment readingOrder="0"/>
    </xf>
    <xf borderId="0" fillId="3" fontId="2" numFmtId="0" xfId="0" applyAlignment="1" applyFont="1">
      <alignment readingOrder="0"/>
    </xf>
    <xf borderId="0" fillId="3" fontId="2" numFmtId="0" xfId="0" applyAlignment="1" applyFont="1">
      <alignment readingOrder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49" xfId="0" applyAlignment="1" applyFont="1" applyNumberFormat="1">
      <alignment readingOrder="0" shrinkToFit="0" vertical="center" wrapText="0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0" xfId="0" applyFont="1"/>
    <xf borderId="0" fillId="0" fontId="2" numFmtId="0" xfId="0" applyFont="1"/>
    <xf borderId="0" fillId="3" fontId="2" numFmtId="0" xfId="0" applyFont="1"/>
    <xf borderId="0" fillId="3" fontId="2" numFmtId="0" xfId="0" applyFont="1"/>
    <xf borderId="0" fillId="0" fontId="2" numFmtId="0" xfId="0" applyAlignment="1" applyFont="1">
      <alignment readingOrder="0" shrinkToFit="0" vertical="center" wrapText="0"/>
    </xf>
    <xf borderId="0" fillId="3" fontId="2" numFmtId="0" xfId="0" applyAlignment="1" applyFont="1">
      <alignment shrinkToFit="0" vertical="center" wrapText="0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4" numFmtId="49" xfId="0" applyAlignment="1" applyFont="1" applyNumberForma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49" xfId="0" applyAlignment="1" applyFont="1" applyNumberFormat="1">
      <alignment shrinkToFit="0" vertical="center" wrapText="0"/>
    </xf>
    <xf borderId="0" fillId="0" fontId="2" numFmtId="0" xfId="0" applyAlignment="1" applyFont="1">
      <alignment shrinkToFit="0" vertical="center" wrapText="0"/>
    </xf>
    <xf borderId="0" fillId="0" fontId="1" numFmtId="0" xfId="0" applyFont="1"/>
    <xf borderId="0" fillId="4" fontId="2" numFmtId="0" xfId="0" applyAlignment="1" applyFill="1" applyFont="1">
      <alignment horizontal="center"/>
    </xf>
    <xf borderId="0" fillId="5" fontId="2" numFmtId="0" xfId="0" applyAlignment="1" applyFill="1" applyFont="1">
      <alignment readingOrder="0"/>
    </xf>
    <xf borderId="0" fillId="6" fontId="2" numFmtId="0" xfId="0" applyAlignment="1" applyFill="1" applyFont="1">
      <alignment horizontal="center" readingOrder="0"/>
    </xf>
    <xf borderId="0" fillId="0" fontId="2" numFmtId="164" xfId="0" applyFont="1" applyNumberFormat="1"/>
    <xf borderId="0" fillId="7" fontId="5" numFmtId="0" xfId="0" applyAlignment="1" applyFill="1" applyFont="1">
      <alignment horizontal="center" readingOrder="0"/>
    </xf>
    <xf borderId="0" fillId="0" fontId="6" numFmtId="0" xfId="0" applyAlignment="1" applyFont="1">
      <alignment readingOrder="0"/>
    </xf>
    <xf borderId="0" fillId="7" fontId="7" numFmtId="0" xfId="0" applyAlignment="1" applyFont="1">
      <alignment horizontal="center" readingOrder="0"/>
    </xf>
    <xf borderId="0" fillId="6" fontId="2" numFmtId="0" xfId="0" applyAlignment="1" applyFont="1">
      <alignment readingOrder="0"/>
    </xf>
    <xf borderId="0" fillId="8" fontId="2" numFmtId="0" xfId="0" applyAlignment="1" applyFill="1" applyFont="1">
      <alignment readingOrder="0"/>
    </xf>
    <xf borderId="0" fillId="9" fontId="1" numFmtId="0" xfId="0" applyAlignment="1" applyFill="1" applyFont="1">
      <alignment horizontal="center" readingOrder="0"/>
    </xf>
    <xf borderId="0" fillId="10" fontId="1" numFmtId="0" xfId="0" applyAlignment="1" applyFill="1" applyFont="1">
      <alignment horizontal="center" readingOrder="0"/>
    </xf>
    <xf borderId="0" fillId="11" fontId="1" numFmtId="0" xfId="0" applyAlignment="1" applyFill="1" applyFont="1">
      <alignment horizontal="center" readingOrder="0"/>
    </xf>
    <xf borderId="0" fillId="12" fontId="8" numFmtId="0" xfId="0" applyAlignment="1" applyFill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13" fontId="1" numFmtId="0" xfId="0" applyFill="1" applyFont="1"/>
    <xf borderId="0" fillId="14" fontId="1" numFmtId="0" xfId="0" applyFill="1" applyFont="1"/>
    <xf borderId="0" fillId="2" fontId="1" numFmtId="0" xfId="0" applyFont="1"/>
    <xf borderId="0" fillId="15" fontId="1" numFmtId="0" xfId="0" applyFill="1" applyFont="1"/>
    <xf borderId="0" fillId="16" fontId="1" numFmtId="0" xfId="0" applyFill="1" applyFont="1"/>
    <xf borderId="0" fillId="0" fontId="1" numFmtId="0" xfId="0" applyAlignment="1" applyFont="1">
      <alignment readingOrder="0"/>
    </xf>
    <xf borderId="0" fillId="0" fontId="4" numFmtId="49" xfId="0" applyAlignment="1" applyFont="1" applyNumberFormat="1">
      <alignment readingOrder="0"/>
    </xf>
    <xf borderId="0" fillId="6" fontId="1" numFmtId="0" xfId="0" applyAlignment="1" applyFont="1">
      <alignment horizontal="center" readingOrder="0"/>
    </xf>
    <xf borderId="0" fillId="0" fontId="1" numFmtId="165" xfId="0" applyAlignment="1" applyFont="1" applyNumberFormat="1">
      <alignment horizontal="center" readingOrder="0"/>
    </xf>
    <xf borderId="0" fillId="8" fontId="1" numFmtId="0" xfId="0" applyAlignment="1" applyFont="1">
      <alignment horizontal="center" readingOrder="0"/>
    </xf>
    <xf borderId="0" fillId="17" fontId="1" numFmtId="0" xfId="0" applyAlignment="1" applyFill="1" applyFont="1">
      <alignment horizontal="center" readingOrder="0"/>
    </xf>
    <xf borderId="0" fillId="18" fontId="1" numFmtId="0" xfId="0" applyAlignment="1" applyFill="1" applyFont="1">
      <alignment horizontal="center" readingOrder="0"/>
    </xf>
    <xf borderId="0" fillId="7" fontId="1" numFmtId="0" xfId="0" applyAlignment="1" applyFont="1">
      <alignment horizontal="center" readingOrder="0"/>
    </xf>
    <xf borderId="0" fillId="19" fontId="1" numFmtId="0" xfId="0" applyAlignment="1" applyFill="1" applyFont="1">
      <alignment horizontal="center"/>
    </xf>
    <xf borderId="0" fillId="20" fontId="1" numFmtId="0" xfId="0" applyAlignment="1" applyFill="1" applyFont="1">
      <alignment horizontal="center" readingOrder="0"/>
    </xf>
    <xf borderId="0" fillId="0" fontId="2" numFmtId="165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9" numFmtId="0" xfId="0" applyFont="1"/>
  </cellXfs>
  <cellStyles count="1">
    <cellStyle xfId="0" name="Normal" builtinId="0"/>
  </cellStyles>
  <dxfs count="9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A4C2F4"/>
          <bgColor rgb="FFA4C2F4"/>
        </patternFill>
      </fill>
      <border/>
    </dxf>
    <dxf>
      <font/>
      <fill>
        <patternFill patternType="solid">
          <fgColor rgb="FF00FF00"/>
          <bgColor rgb="FF00FF00"/>
        </patternFill>
      </fill>
      <border/>
    </dxf>
    <dxf>
      <font>
        <color rgb="FF000000"/>
      </font>
      <fill>
        <patternFill patternType="solid">
          <fgColor rgb="FF00FF00"/>
          <bgColor rgb="FF00FF00"/>
        </patternFill>
      </fill>
      <border/>
    </dxf>
  </dxfs>
  <tableStyles count="3">
    <tableStyle count="4" pivot="0" name="혈맹원 정보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혈맹원 정보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2" pivot="0" name="혈맹원 정보-style 3"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G150" displayName="표1" name="표1" id="1">
  <tableColumns count="7">
    <tableColumn name="닉네임" id="1"/>
    <tableColumn name="직책" id="2"/>
    <tableColumn name="클래스" id="3"/>
    <tableColumn name="속성" id="4"/>
    <tableColumn name="디코고유id" id="5"/>
    <tableColumn name="연락처" id="6"/>
    <tableColumn name="특이사항" id="7"/>
  </tableColumns>
  <tableStyleInfo name="혈맹원 정보-style" showColumnStripes="0" showFirstColumn="1" showLastColumn="1" showRowStripes="1"/>
</table>
</file>

<file path=xl/tables/table2.xml><?xml version="1.0" encoding="utf-8"?>
<table xmlns="http://schemas.openxmlformats.org/spreadsheetml/2006/main" headerRowCount="0" ref="K1:P1" displayName="표2" name="표2" id="2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혈맹원 정보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.xml><?xml version="1.0" encoding="utf-8"?>
<table xmlns="http://schemas.openxmlformats.org/spreadsheetml/2006/main" headerRowCount="0" ref="K2:O69" displayName="Table_1" name="Table_1" id="3">
  <tableColumns count="5">
    <tableColumn name="Column1" id="1"/>
    <tableColumn name="Column2" id="2"/>
    <tableColumn name="Column3" id="3"/>
    <tableColumn name="Column4" id="4"/>
    <tableColumn name="Column5" id="5"/>
  </tableColumns>
  <tableStyleInfo name="혈맹원 정보-style 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13.25"/>
    <col customWidth="1" min="5" max="5" width="23.1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3" t="s">
        <v>6</v>
      </c>
      <c r="K1" s="4" t="s">
        <v>0</v>
      </c>
      <c r="L1" s="4" t="s">
        <v>1</v>
      </c>
      <c r="M1" s="4" t="s">
        <v>2</v>
      </c>
      <c r="N1" s="4" t="s">
        <v>3</v>
      </c>
      <c r="O1" s="4" t="s">
        <v>5</v>
      </c>
      <c r="P1" s="3" t="s">
        <v>7</v>
      </c>
    </row>
    <row r="2" ht="22.5" customHeight="1">
      <c r="A2" s="5" t="s">
        <v>8</v>
      </c>
      <c r="B2" s="6" t="s">
        <v>9</v>
      </c>
      <c r="C2" s="6" t="s">
        <v>10</v>
      </c>
      <c r="D2" s="6" t="s">
        <v>11</v>
      </c>
      <c r="E2" s="7" t="s">
        <v>12</v>
      </c>
      <c r="I2" s="8" t="b">
        <f t="shared" ref="I2:I150" si="1">ISTEXT(E2)</f>
        <v>1</v>
      </c>
      <c r="K2" s="9" t="s">
        <v>8</v>
      </c>
      <c r="L2" s="10" t="s">
        <v>9</v>
      </c>
      <c r="M2" s="10" t="s">
        <v>10</v>
      </c>
      <c r="N2" s="10" t="s">
        <v>11</v>
      </c>
      <c r="O2" s="11"/>
    </row>
    <row r="3" ht="22.5" customHeight="1">
      <c r="A3" s="5" t="s">
        <v>13</v>
      </c>
      <c r="B3" s="12" t="s">
        <v>9</v>
      </c>
      <c r="C3" s="12" t="s">
        <v>14</v>
      </c>
      <c r="D3" s="13"/>
      <c r="E3" s="14" t="s">
        <v>15</v>
      </c>
      <c r="I3" s="8" t="b">
        <f t="shared" si="1"/>
        <v>1</v>
      </c>
      <c r="K3" s="9"/>
      <c r="L3" s="15"/>
      <c r="M3" s="16"/>
      <c r="N3" s="8"/>
      <c r="O3" s="17"/>
    </row>
    <row r="4" ht="22.5" customHeight="1">
      <c r="A4" s="5" t="s">
        <v>16</v>
      </c>
      <c r="B4" s="12" t="s">
        <v>9</v>
      </c>
      <c r="C4" s="12" t="s">
        <v>10</v>
      </c>
      <c r="D4" s="13"/>
      <c r="E4" s="14" t="s">
        <v>17</v>
      </c>
      <c r="I4" s="8" t="b">
        <f t="shared" si="1"/>
        <v>1</v>
      </c>
      <c r="K4" s="9" t="s">
        <v>13</v>
      </c>
      <c r="L4" s="15" t="s">
        <v>9</v>
      </c>
      <c r="M4" s="15" t="s">
        <v>14</v>
      </c>
      <c r="N4" s="18"/>
      <c r="O4" s="17"/>
    </row>
    <row r="5" ht="22.5" customHeight="1">
      <c r="A5" s="5" t="s">
        <v>18</v>
      </c>
      <c r="B5" s="6" t="s">
        <v>9</v>
      </c>
      <c r="C5" s="6" t="s">
        <v>19</v>
      </c>
      <c r="D5" s="6" t="s">
        <v>20</v>
      </c>
      <c r="E5" s="14" t="s">
        <v>21</v>
      </c>
      <c r="I5" s="8" t="b">
        <f t="shared" si="1"/>
        <v>1</v>
      </c>
      <c r="K5" s="9" t="s">
        <v>22</v>
      </c>
      <c r="L5" s="10" t="s">
        <v>9</v>
      </c>
      <c r="M5" s="10" t="s">
        <v>19</v>
      </c>
      <c r="N5" s="19"/>
      <c r="O5" s="20"/>
    </row>
    <row r="6" ht="22.5" customHeight="1">
      <c r="A6" s="5" t="s">
        <v>23</v>
      </c>
      <c r="B6" s="12" t="s">
        <v>9</v>
      </c>
      <c r="C6" s="12" t="s">
        <v>19</v>
      </c>
      <c r="D6" s="21" t="s">
        <v>20</v>
      </c>
      <c r="E6" s="14" t="s">
        <v>24</v>
      </c>
      <c r="I6" s="8" t="b">
        <f t="shared" si="1"/>
        <v>1</v>
      </c>
      <c r="K6" s="9" t="s">
        <v>16</v>
      </c>
      <c r="L6" s="15" t="s">
        <v>9</v>
      </c>
      <c r="M6" s="15" t="s">
        <v>10</v>
      </c>
      <c r="N6" s="18"/>
      <c r="O6" s="17"/>
    </row>
    <row r="7" ht="22.5" customHeight="1">
      <c r="A7" s="5" t="s">
        <v>25</v>
      </c>
      <c r="B7" s="12" t="s">
        <v>9</v>
      </c>
      <c r="C7" s="12" t="s">
        <v>19</v>
      </c>
      <c r="D7" s="13"/>
      <c r="E7" s="14" t="s">
        <v>26</v>
      </c>
      <c r="I7" s="8" t="b">
        <f t="shared" si="1"/>
        <v>1</v>
      </c>
      <c r="K7" s="9"/>
      <c r="L7" s="10"/>
      <c r="M7" s="10"/>
      <c r="N7" s="10"/>
      <c r="O7" s="11"/>
    </row>
    <row r="8" ht="22.5" customHeight="1">
      <c r="A8" s="5" t="s">
        <v>27</v>
      </c>
      <c r="B8" s="6" t="s">
        <v>9</v>
      </c>
      <c r="C8" s="6" t="s">
        <v>19</v>
      </c>
      <c r="D8" s="22"/>
      <c r="E8" s="14" t="s">
        <v>28</v>
      </c>
      <c r="I8" s="8" t="b">
        <f t="shared" si="1"/>
        <v>1</v>
      </c>
      <c r="K8" s="9" t="s">
        <v>18</v>
      </c>
      <c r="L8" s="10" t="s">
        <v>9</v>
      </c>
      <c r="M8" s="10" t="s">
        <v>19</v>
      </c>
      <c r="N8" s="10" t="s">
        <v>20</v>
      </c>
      <c r="O8" s="11"/>
    </row>
    <row r="9" ht="22.5" customHeight="1">
      <c r="A9" s="5" t="s">
        <v>29</v>
      </c>
      <c r="B9" s="12" t="s">
        <v>9</v>
      </c>
      <c r="C9" s="12" t="s">
        <v>10</v>
      </c>
      <c r="D9" s="13"/>
      <c r="E9" s="14" t="s">
        <v>30</v>
      </c>
      <c r="I9" s="8" t="b">
        <f t="shared" si="1"/>
        <v>1</v>
      </c>
      <c r="K9" s="9" t="s">
        <v>23</v>
      </c>
      <c r="L9" s="15" t="s">
        <v>9</v>
      </c>
      <c r="M9" s="15" t="s">
        <v>19</v>
      </c>
      <c r="N9" s="23" t="s">
        <v>20</v>
      </c>
      <c r="O9" s="24"/>
    </row>
    <row r="10" ht="22.5" customHeight="1">
      <c r="A10" s="5" t="s">
        <v>31</v>
      </c>
      <c r="B10" s="6" t="s">
        <v>9</v>
      </c>
      <c r="C10" s="6" t="s">
        <v>19</v>
      </c>
      <c r="D10" s="6"/>
      <c r="E10" s="14" t="s">
        <v>32</v>
      </c>
      <c r="I10" s="8" t="b">
        <f t="shared" si="1"/>
        <v>1</v>
      </c>
      <c r="K10" s="9" t="s">
        <v>27</v>
      </c>
      <c r="L10" s="10" t="s">
        <v>9</v>
      </c>
      <c r="M10" s="10" t="s">
        <v>19</v>
      </c>
      <c r="N10" s="19"/>
      <c r="O10" s="20"/>
    </row>
    <row r="11" ht="22.5" customHeight="1">
      <c r="A11" s="5" t="s">
        <v>33</v>
      </c>
      <c r="B11" s="6" t="s">
        <v>9</v>
      </c>
      <c r="C11" s="6" t="s">
        <v>14</v>
      </c>
      <c r="D11" s="6" t="s">
        <v>11</v>
      </c>
      <c r="E11" s="14" t="s">
        <v>34</v>
      </c>
      <c r="I11" s="8" t="b">
        <f t="shared" si="1"/>
        <v>1</v>
      </c>
      <c r="K11" s="9" t="s">
        <v>35</v>
      </c>
      <c r="L11" s="15" t="s">
        <v>9</v>
      </c>
      <c r="M11" s="15" t="s">
        <v>19</v>
      </c>
      <c r="N11" s="18"/>
      <c r="O11" s="17"/>
    </row>
    <row r="12" ht="22.5" customHeight="1">
      <c r="A12" s="5" t="s">
        <v>36</v>
      </c>
      <c r="B12" s="6" t="s">
        <v>9</v>
      </c>
      <c r="C12" s="6" t="s">
        <v>10</v>
      </c>
      <c r="D12" s="6" t="s">
        <v>11</v>
      </c>
      <c r="E12" s="14" t="s">
        <v>37</v>
      </c>
      <c r="I12" s="8" t="b">
        <f t="shared" si="1"/>
        <v>1</v>
      </c>
      <c r="K12" s="9" t="s">
        <v>38</v>
      </c>
      <c r="L12" s="15" t="s">
        <v>9</v>
      </c>
      <c r="M12" s="15" t="s">
        <v>10</v>
      </c>
      <c r="N12" s="23" t="s">
        <v>11</v>
      </c>
      <c r="O12" s="23" t="s">
        <v>39</v>
      </c>
    </row>
    <row r="13" ht="22.5" customHeight="1">
      <c r="A13" s="5" t="s">
        <v>40</v>
      </c>
      <c r="B13" s="6" t="s">
        <v>9</v>
      </c>
      <c r="C13" s="6" t="s">
        <v>10</v>
      </c>
      <c r="D13" s="22"/>
      <c r="E13" s="14" t="s">
        <v>41</v>
      </c>
      <c r="I13" s="8" t="b">
        <f t="shared" si="1"/>
        <v>1</v>
      </c>
      <c r="K13" s="9" t="s">
        <v>29</v>
      </c>
      <c r="L13" s="15" t="s">
        <v>9</v>
      </c>
      <c r="M13" s="15" t="s">
        <v>10</v>
      </c>
      <c r="N13" s="18"/>
      <c r="O13" s="17"/>
    </row>
    <row r="14" ht="22.5" customHeight="1">
      <c r="A14" s="5" t="s">
        <v>42</v>
      </c>
      <c r="B14" s="12" t="s">
        <v>9</v>
      </c>
      <c r="C14" s="12" t="s">
        <v>19</v>
      </c>
      <c r="D14" s="13"/>
      <c r="E14" s="14" t="s">
        <v>43</v>
      </c>
      <c r="I14" s="8" t="b">
        <f t="shared" si="1"/>
        <v>1</v>
      </c>
      <c r="K14" s="9" t="s">
        <v>33</v>
      </c>
      <c r="L14" s="10" t="s">
        <v>9</v>
      </c>
      <c r="M14" s="10" t="s">
        <v>14</v>
      </c>
      <c r="N14" s="10" t="s">
        <v>11</v>
      </c>
      <c r="O14" s="11"/>
    </row>
    <row r="15" ht="22.5" customHeight="1">
      <c r="A15" s="5" t="s">
        <v>44</v>
      </c>
      <c r="B15" s="12" t="s">
        <v>9</v>
      </c>
      <c r="C15" s="12" t="s">
        <v>19</v>
      </c>
      <c r="D15" s="13"/>
      <c r="E15" s="14" t="s">
        <v>45</v>
      </c>
      <c r="I15" s="8" t="b">
        <f t="shared" si="1"/>
        <v>1</v>
      </c>
      <c r="K15" s="9" t="s">
        <v>36</v>
      </c>
      <c r="L15" s="10" t="s">
        <v>9</v>
      </c>
      <c r="M15" s="10" t="s">
        <v>10</v>
      </c>
      <c r="N15" s="10" t="s">
        <v>11</v>
      </c>
      <c r="O15" s="11"/>
    </row>
    <row r="16" ht="22.5" customHeight="1">
      <c r="A16" s="5" t="s">
        <v>46</v>
      </c>
      <c r="B16" s="12" t="s">
        <v>9</v>
      </c>
      <c r="C16" s="12" t="s">
        <v>19</v>
      </c>
      <c r="D16" s="13"/>
      <c r="E16" s="7" t="s">
        <v>47</v>
      </c>
      <c r="I16" s="8" t="b">
        <f t="shared" si="1"/>
        <v>1</v>
      </c>
      <c r="K16" s="9" t="s">
        <v>40</v>
      </c>
      <c r="L16" s="10" t="s">
        <v>9</v>
      </c>
      <c r="M16" s="10" t="s">
        <v>10</v>
      </c>
      <c r="N16" s="19"/>
      <c r="O16" s="20"/>
    </row>
    <row r="17" ht="22.5" customHeight="1">
      <c r="A17" s="5" t="s">
        <v>48</v>
      </c>
      <c r="B17" s="12" t="s">
        <v>9</v>
      </c>
      <c r="C17" s="12" t="s">
        <v>19</v>
      </c>
      <c r="D17" s="13"/>
      <c r="E17" s="14" t="s">
        <v>49</v>
      </c>
      <c r="I17" s="8" t="b">
        <f t="shared" si="1"/>
        <v>1</v>
      </c>
      <c r="K17" s="9" t="s">
        <v>44</v>
      </c>
      <c r="L17" s="15" t="s">
        <v>9</v>
      </c>
      <c r="M17" s="15" t="s">
        <v>19</v>
      </c>
      <c r="N17" s="18"/>
      <c r="O17" s="17"/>
    </row>
    <row r="18" ht="22.5" customHeight="1">
      <c r="A18" s="5" t="s">
        <v>50</v>
      </c>
      <c r="B18" s="6" t="s">
        <v>9</v>
      </c>
      <c r="C18" s="6" t="s">
        <v>14</v>
      </c>
      <c r="D18" s="6"/>
      <c r="E18" s="14" t="s">
        <v>51</v>
      </c>
      <c r="I18" s="8" t="b">
        <f t="shared" si="1"/>
        <v>1</v>
      </c>
      <c r="K18" s="9" t="s">
        <v>46</v>
      </c>
      <c r="L18" s="15" t="s">
        <v>9</v>
      </c>
      <c r="M18" s="15" t="s">
        <v>19</v>
      </c>
      <c r="O18" s="17"/>
    </row>
    <row r="19" ht="22.5" customHeight="1">
      <c r="A19" s="5" t="s">
        <v>52</v>
      </c>
      <c r="B19" s="6" t="s">
        <v>9</v>
      </c>
      <c r="C19" s="6" t="s">
        <v>19</v>
      </c>
      <c r="D19" s="6" t="s">
        <v>53</v>
      </c>
      <c r="E19" s="25" t="s">
        <v>54</v>
      </c>
      <c r="I19" s="8" t="b">
        <f t="shared" si="1"/>
        <v>1</v>
      </c>
      <c r="K19" s="9" t="s">
        <v>55</v>
      </c>
      <c r="L19" s="15" t="s">
        <v>9</v>
      </c>
      <c r="M19" s="15" t="s">
        <v>19</v>
      </c>
      <c r="N19" s="18"/>
      <c r="O19" s="17"/>
    </row>
    <row r="20" ht="22.5" customHeight="1">
      <c r="A20" s="5" t="s">
        <v>56</v>
      </c>
      <c r="B20" s="21" t="s">
        <v>9</v>
      </c>
      <c r="C20" s="21" t="s">
        <v>10</v>
      </c>
      <c r="D20" s="21" t="s">
        <v>11</v>
      </c>
      <c r="E20" s="25" t="s">
        <v>57</v>
      </c>
      <c r="I20" s="8" t="b">
        <f t="shared" si="1"/>
        <v>1</v>
      </c>
      <c r="K20" s="9" t="s">
        <v>48</v>
      </c>
      <c r="L20" s="15" t="s">
        <v>9</v>
      </c>
      <c r="M20" s="15" t="s">
        <v>19</v>
      </c>
      <c r="N20" s="18"/>
      <c r="O20" s="17"/>
    </row>
    <row r="21" ht="22.5" customHeight="1">
      <c r="A21" s="5" t="s">
        <v>58</v>
      </c>
      <c r="B21" s="12" t="s">
        <v>9</v>
      </c>
      <c r="C21" s="12" t="s">
        <v>19</v>
      </c>
      <c r="D21" s="13"/>
      <c r="E21" s="14" t="s">
        <v>59</v>
      </c>
      <c r="I21" s="8" t="b">
        <f t="shared" si="1"/>
        <v>1</v>
      </c>
      <c r="K21" s="9" t="s">
        <v>60</v>
      </c>
      <c r="L21" s="15" t="s">
        <v>9</v>
      </c>
      <c r="M21" s="16"/>
      <c r="N21" s="18"/>
      <c r="O21" s="17"/>
    </row>
    <row r="22" ht="22.5" customHeight="1">
      <c r="A22" s="5" t="s">
        <v>61</v>
      </c>
      <c r="B22" s="6" t="s">
        <v>9</v>
      </c>
      <c r="C22" s="6" t="s">
        <v>19</v>
      </c>
      <c r="D22" s="22"/>
      <c r="E22" s="7" t="s">
        <v>62</v>
      </c>
      <c r="I22" s="8" t="b">
        <f t="shared" si="1"/>
        <v>1</v>
      </c>
      <c r="K22" s="9" t="s">
        <v>52</v>
      </c>
      <c r="L22" s="10" t="s">
        <v>9</v>
      </c>
      <c r="M22" s="10" t="s">
        <v>19</v>
      </c>
      <c r="N22" s="10" t="s">
        <v>53</v>
      </c>
      <c r="O22" s="11"/>
    </row>
    <row r="23" ht="22.5" customHeight="1">
      <c r="A23" s="5" t="s">
        <v>63</v>
      </c>
      <c r="B23" s="6" t="s">
        <v>9</v>
      </c>
      <c r="C23" s="6" t="s">
        <v>19</v>
      </c>
      <c r="D23" s="22"/>
      <c r="E23" s="14" t="s">
        <v>64</v>
      </c>
      <c r="I23" s="8" t="b">
        <f t="shared" si="1"/>
        <v>1</v>
      </c>
      <c r="K23" s="9" t="s">
        <v>65</v>
      </c>
      <c r="L23" s="10" t="s">
        <v>9</v>
      </c>
      <c r="M23" s="10" t="s">
        <v>14</v>
      </c>
      <c r="N23" s="10" t="s">
        <v>11</v>
      </c>
      <c r="O23" s="11"/>
    </row>
    <row r="24" ht="22.5" customHeight="1">
      <c r="A24" s="5" t="s">
        <v>66</v>
      </c>
      <c r="B24" s="6" t="s">
        <v>9</v>
      </c>
      <c r="C24" s="6" t="s">
        <v>14</v>
      </c>
      <c r="D24" s="6" t="s">
        <v>11</v>
      </c>
      <c r="E24" s="14" t="s">
        <v>67</v>
      </c>
      <c r="I24" s="8" t="b">
        <f t="shared" si="1"/>
        <v>1</v>
      </c>
      <c r="K24" s="9" t="s">
        <v>56</v>
      </c>
      <c r="L24" s="23" t="s">
        <v>9</v>
      </c>
      <c r="M24" s="23" t="s">
        <v>10</v>
      </c>
      <c r="N24" s="23" t="s">
        <v>11</v>
      </c>
      <c r="O24" s="24"/>
    </row>
    <row r="25" ht="22.5" customHeight="1">
      <c r="A25" s="5" t="s">
        <v>68</v>
      </c>
      <c r="B25" s="12" t="s">
        <v>9</v>
      </c>
      <c r="C25" s="12" t="s">
        <v>14</v>
      </c>
      <c r="D25" s="13"/>
      <c r="E25" s="14" t="s">
        <v>69</v>
      </c>
      <c r="G25" s="26" t="s">
        <v>70</v>
      </c>
      <c r="I25" s="8" t="b">
        <f t="shared" si="1"/>
        <v>1</v>
      </c>
      <c r="K25" s="9" t="s">
        <v>71</v>
      </c>
      <c r="L25" s="10" t="s">
        <v>9</v>
      </c>
      <c r="M25" s="10" t="s">
        <v>19</v>
      </c>
      <c r="N25" s="10"/>
      <c r="O25" s="11"/>
    </row>
    <row r="26" ht="22.5" customHeight="1">
      <c r="A26" s="5" t="s">
        <v>72</v>
      </c>
      <c r="B26" s="12" t="s">
        <v>9</v>
      </c>
      <c r="C26" s="12" t="s">
        <v>19</v>
      </c>
      <c r="D26" s="13"/>
      <c r="E26" s="25" t="s">
        <v>73</v>
      </c>
      <c r="I26" s="8" t="b">
        <f t="shared" si="1"/>
        <v>1</v>
      </c>
      <c r="K26" s="9" t="s">
        <v>74</v>
      </c>
      <c r="L26" s="15" t="s">
        <v>9</v>
      </c>
      <c r="M26" s="16"/>
      <c r="N26" s="18"/>
      <c r="O26" s="17"/>
    </row>
    <row r="27" ht="22.5" customHeight="1">
      <c r="A27" s="5" t="s">
        <v>75</v>
      </c>
      <c r="B27" s="6" t="s">
        <v>76</v>
      </c>
      <c r="C27" s="6" t="s">
        <v>14</v>
      </c>
      <c r="D27" s="6" t="s">
        <v>11</v>
      </c>
      <c r="E27" s="7" t="s">
        <v>77</v>
      </c>
      <c r="I27" s="8" t="b">
        <f t="shared" si="1"/>
        <v>1</v>
      </c>
      <c r="K27" s="9" t="s">
        <v>63</v>
      </c>
      <c r="L27" s="10" t="s">
        <v>9</v>
      </c>
      <c r="M27" s="10" t="s">
        <v>19</v>
      </c>
      <c r="N27" s="19"/>
      <c r="O27" s="20"/>
    </row>
    <row r="28" ht="22.5" customHeight="1">
      <c r="A28" s="5" t="s">
        <v>78</v>
      </c>
      <c r="B28" s="12" t="s">
        <v>9</v>
      </c>
      <c r="C28" s="12" t="s">
        <v>14</v>
      </c>
      <c r="D28" s="13"/>
      <c r="E28" s="14" t="s">
        <v>79</v>
      </c>
      <c r="I28" s="8" t="b">
        <f t="shared" si="1"/>
        <v>1</v>
      </c>
      <c r="K28" s="9" t="s">
        <v>66</v>
      </c>
      <c r="L28" s="10" t="s">
        <v>9</v>
      </c>
      <c r="M28" s="10" t="s">
        <v>14</v>
      </c>
      <c r="N28" s="10" t="s">
        <v>11</v>
      </c>
      <c r="O28" s="11"/>
    </row>
    <row r="29" ht="22.5" customHeight="1">
      <c r="A29" s="5" t="s">
        <v>80</v>
      </c>
      <c r="B29" s="12" t="s">
        <v>9</v>
      </c>
      <c r="C29" s="12" t="s">
        <v>19</v>
      </c>
      <c r="D29" s="13"/>
      <c r="E29" s="25" t="s">
        <v>81</v>
      </c>
      <c r="I29" s="8" t="b">
        <f t="shared" si="1"/>
        <v>1</v>
      </c>
      <c r="K29" s="9" t="s">
        <v>72</v>
      </c>
      <c r="L29" s="15" t="s">
        <v>9</v>
      </c>
      <c r="M29" s="15" t="s">
        <v>19</v>
      </c>
      <c r="N29" s="18"/>
      <c r="O29" s="17"/>
    </row>
    <row r="30" ht="22.5" customHeight="1">
      <c r="A30" s="5" t="s">
        <v>82</v>
      </c>
      <c r="B30" s="12" t="s">
        <v>9</v>
      </c>
      <c r="C30" s="12" t="s">
        <v>19</v>
      </c>
      <c r="D30" s="13"/>
      <c r="E30" s="7" t="s">
        <v>83</v>
      </c>
      <c r="I30" s="8" t="b">
        <f t="shared" si="1"/>
        <v>1</v>
      </c>
      <c r="K30" s="9" t="s">
        <v>75</v>
      </c>
      <c r="L30" s="10" t="s">
        <v>76</v>
      </c>
      <c r="M30" s="10" t="s">
        <v>14</v>
      </c>
      <c r="N30" s="10" t="s">
        <v>11</v>
      </c>
      <c r="O30" s="11"/>
    </row>
    <row r="31" ht="22.5" customHeight="1">
      <c r="A31" s="5" t="s">
        <v>82</v>
      </c>
      <c r="B31" s="12" t="s">
        <v>9</v>
      </c>
      <c r="C31" s="12" t="s">
        <v>19</v>
      </c>
      <c r="D31" s="13"/>
      <c r="E31" s="14" t="s">
        <v>83</v>
      </c>
      <c r="I31" s="8" t="b">
        <f t="shared" si="1"/>
        <v>1</v>
      </c>
      <c r="K31" s="9" t="s">
        <v>78</v>
      </c>
      <c r="L31" s="15" t="s">
        <v>9</v>
      </c>
      <c r="M31" s="15" t="s">
        <v>14</v>
      </c>
      <c r="N31" s="18"/>
      <c r="O31" s="17"/>
    </row>
    <row r="32" ht="22.5" customHeight="1">
      <c r="A32" s="5" t="s">
        <v>84</v>
      </c>
      <c r="B32" s="6" t="s">
        <v>9</v>
      </c>
      <c r="C32" s="6" t="s">
        <v>19</v>
      </c>
      <c r="D32" s="6"/>
      <c r="E32" s="25" t="s">
        <v>85</v>
      </c>
      <c r="G32" s="26" t="s">
        <v>86</v>
      </c>
      <c r="I32" s="8" t="b">
        <f t="shared" si="1"/>
        <v>1</v>
      </c>
      <c r="K32" s="9" t="s">
        <v>80</v>
      </c>
      <c r="L32" s="15" t="s">
        <v>9</v>
      </c>
      <c r="M32" s="15" t="s">
        <v>19</v>
      </c>
      <c r="N32" s="18"/>
      <c r="O32" s="17"/>
    </row>
    <row r="33" ht="22.5" customHeight="1">
      <c r="A33" s="5" t="s">
        <v>87</v>
      </c>
      <c r="B33" s="12" t="s">
        <v>9</v>
      </c>
      <c r="C33" s="12" t="s">
        <v>19</v>
      </c>
      <c r="D33" s="13"/>
      <c r="E33" s="14" t="s">
        <v>88</v>
      </c>
      <c r="I33" s="8" t="b">
        <f t="shared" si="1"/>
        <v>1</v>
      </c>
      <c r="K33" s="9" t="s">
        <v>82</v>
      </c>
      <c r="L33" s="15" t="s">
        <v>9</v>
      </c>
      <c r="M33" s="15" t="s">
        <v>19</v>
      </c>
      <c r="N33" s="18"/>
      <c r="O33" s="17"/>
    </row>
    <row r="34" ht="22.5" customHeight="1">
      <c r="A34" s="5" t="s">
        <v>89</v>
      </c>
      <c r="B34" s="6" t="s">
        <v>9</v>
      </c>
      <c r="C34" s="6" t="s">
        <v>10</v>
      </c>
      <c r="D34" s="6" t="s">
        <v>11</v>
      </c>
      <c r="E34" s="14" t="s">
        <v>90</v>
      </c>
      <c r="I34" s="8" t="b">
        <f t="shared" si="1"/>
        <v>1</v>
      </c>
      <c r="K34" s="9" t="s">
        <v>87</v>
      </c>
      <c r="L34" s="15" t="s">
        <v>9</v>
      </c>
      <c r="M34" s="15" t="s">
        <v>19</v>
      </c>
      <c r="N34" s="18"/>
      <c r="O34" s="17"/>
    </row>
    <row r="35" ht="22.5" customHeight="1">
      <c r="A35" s="5" t="s">
        <v>91</v>
      </c>
      <c r="B35" s="6" t="s">
        <v>9</v>
      </c>
      <c r="C35" s="6" t="s">
        <v>19</v>
      </c>
      <c r="D35" s="22"/>
      <c r="E35" s="25" t="s">
        <v>92</v>
      </c>
      <c r="I35" s="8" t="b">
        <f t="shared" si="1"/>
        <v>1</v>
      </c>
      <c r="K35" s="9" t="s">
        <v>89</v>
      </c>
      <c r="L35" s="10" t="s">
        <v>9</v>
      </c>
      <c r="M35" s="10" t="s">
        <v>10</v>
      </c>
      <c r="N35" s="10" t="s">
        <v>11</v>
      </c>
      <c r="O35" s="11"/>
    </row>
    <row r="36" ht="22.5" customHeight="1">
      <c r="A36" s="5" t="s">
        <v>93</v>
      </c>
      <c r="B36" s="6" t="s">
        <v>9</v>
      </c>
      <c r="C36" s="6" t="s">
        <v>19</v>
      </c>
      <c r="D36" s="6"/>
      <c r="E36" s="14" t="s">
        <v>92</v>
      </c>
      <c r="G36" s="26" t="s">
        <v>94</v>
      </c>
      <c r="I36" s="8" t="b">
        <f t="shared" si="1"/>
        <v>1</v>
      </c>
      <c r="K36" s="9" t="s">
        <v>91</v>
      </c>
      <c r="L36" s="10" t="s">
        <v>9</v>
      </c>
      <c r="M36" s="10" t="s">
        <v>19</v>
      </c>
      <c r="N36" s="19"/>
      <c r="O36" s="20"/>
    </row>
    <row r="37" ht="22.5" customHeight="1">
      <c r="A37" s="5" t="s">
        <v>95</v>
      </c>
      <c r="B37" s="12" t="s">
        <v>9</v>
      </c>
      <c r="C37" s="12" t="s">
        <v>14</v>
      </c>
      <c r="D37" s="13"/>
      <c r="E37" s="14" t="s">
        <v>96</v>
      </c>
      <c r="I37" s="8" t="b">
        <f t="shared" si="1"/>
        <v>1</v>
      </c>
      <c r="K37" s="9" t="s">
        <v>97</v>
      </c>
      <c r="L37" s="15" t="s">
        <v>9</v>
      </c>
      <c r="M37" s="15" t="s">
        <v>19</v>
      </c>
      <c r="O37" s="17"/>
    </row>
    <row r="38" ht="22.5" customHeight="1">
      <c r="A38" s="5" t="s">
        <v>98</v>
      </c>
      <c r="B38" s="21" t="s">
        <v>9</v>
      </c>
      <c r="C38" s="21" t="s">
        <v>19</v>
      </c>
      <c r="D38" s="13"/>
      <c r="E38" s="25" t="s">
        <v>99</v>
      </c>
      <c r="I38" s="8" t="b">
        <f t="shared" si="1"/>
        <v>1</v>
      </c>
      <c r="K38" s="9" t="s">
        <v>100</v>
      </c>
      <c r="L38" s="10" t="s">
        <v>9</v>
      </c>
      <c r="M38" s="10" t="s">
        <v>10</v>
      </c>
      <c r="N38" s="10" t="s">
        <v>11</v>
      </c>
      <c r="O38" s="11"/>
    </row>
    <row r="39" ht="22.5" customHeight="1">
      <c r="A39" s="5" t="s">
        <v>101</v>
      </c>
      <c r="B39" s="6" t="s">
        <v>9</v>
      </c>
      <c r="C39" s="6" t="s">
        <v>14</v>
      </c>
      <c r="D39" s="6" t="s">
        <v>11</v>
      </c>
      <c r="E39" s="14" t="s">
        <v>102</v>
      </c>
      <c r="I39" s="8" t="b">
        <f t="shared" si="1"/>
        <v>1</v>
      </c>
      <c r="K39" s="9" t="s">
        <v>95</v>
      </c>
      <c r="L39" s="15" t="s">
        <v>9</v>
      </c>
      <c r="M39" s="15" t="s">
        <v>14</v>
      </c>
      <c r="N39" s="18"/>
      <c r="O39" s="17"/>
    </row>
    <row r="40" ht="22.5" customHeight="1">
      <c r="A40" s="5" t="s">
        <v>103</v>
      </c>
      <c r="B40" s="12" t="s">
        <v>9</v>
      </c>
      <c r="C40" s="12" t="s">
        <v>10</v>
      </c>
      <c r="D40" s="13"/>
      <c r="E40" s="14" t="s">
        <v>104</v>
      </c>
      <c r="I40" s="8" t="b">
        <f t="shared" si="1"/>
        <v>1</v>
      </c>
      <c r="K40" s="9" t="s">
        <v>101</v>
      </c>
      <c r="L40" s="10" t="s">
        <v>9</v>
      </c>
      <c r="M40" s="10" t="s">
        <v>14</v>
      </c>
      <c r="N40" s="10" t="s">
        <v>11</v>
      </c>
      <c r="O40" s="11"/>
    </row>
    <row r="41" ht="22.5" customHeight="1">
      <c r="A41" s="5" t="s">
        <v>105</v>
      </c>
      <c r="B41" s="12" t="s">
        <v>9</v>
      </c>
      <c r="C41" s="12" t="s">
        <v>19</v>
      </c>
      <c r="D41" s="21"/>
      <c r="E41" s="14" t="s">
        <v>106</v>
      </c>
      <c r="F41" s="26" t="s">
        <v>107</v>
      </c>
      <c r="I41" s="8" t="b">
        <f t="shared" si="1"/>
        <v>1</v>
      </c>
      <c r="K41" s="9" t="s">
        <v>103</v>
      </c>
      <c r="L41" s="15" t="s">
        <v>9</v>
      </c>
      <c r="M41" s="15" t="s">
        <v>10</v>
      </c>
      <c r="N41" s="18"/>
      <c r="O41" s="17"/>
    </row>
    <row r="42" ht="22.5" customHeight="1">
      <c r="A42" s="5" t="s">
        <v>108</v>
      </c>
      <c r="B42" s="12" t="s">
        <v>9</v>
      </c>
      <c r="C42" s="12" t="s">
        <v>14</v>
      </c>
      <c r="D42" s="13"/>
      <c r="E42" s="14" t="s">
        <v>109</v>
      </c>
      <c r="I42" s="8" t="b">
        <f t="shared" si="1"/>
        <v>1</v>
      </c>
      <c r="K42" s="9" t="s">
        <v>105</v>
      </c>
      <c r="L42" s="15" t="s">
        <v>9</v>
      </c>
      <c r="M42" s="15" t="s">
        <v>19</v>
      </c>
      <c r="N42" s="23"/>
      <c r="O42" s="23" t="s">
        <v>107</v>
      </c>
    </row>
    <row r="43" ht="22.5" customHeight="1">
      <c r="A43" s="5" t="s">
        <v>110</v>
      </c>
      <c r="B43" s="12" t="s">
        <v>9</v>
      </c>
      <c r="C43" s="12" t="s">
        <v>19</v>
      </c>
      <c r="D43" s="13"/>
      <c r="E43" s="14" t="s">
        <v>111</v>
      </c>
      <c r="I43" s="8" t="b">
        <f t="shared" si="1"/>
        <v>1</v>
      </c>
      <c r="K43" s="9" t="s">
        <v>110</v>
      </c>
      <c r="L43" s="15" t="s">
        <v>9</v>
      </c>
      <c r="M43" s="15" t="s">
        <v>19</v>
      </c>
      <c r="N43" s="18"/>
      <c r="O43" s="17"/>
    </row>
    <row r="44" ht="22.5" customHeight="1">
      <c r="A44" s="5" t="s">
        <v>112</v>
      </c>
      <c r="B44" s="6" t="s">
        <v>9</v>
      </c>
      <c r="C44" s="6" t="s">
        <v>19</v>
      </c>
      <c r="D44" s="22"/>
      <c r="E44" s="25" t="s">
        <v>113</v>
      </c>
      <c r="I44" s="8" t="b">
        <f t="shared" si="1"/>
        <v>1</v>
      </c>
      <c r="K44" s="9" t="s">
        <v>114</v>
      </c>
      <c r="L44" s="15" t="s">
        <v>9</v>
      </c>
      <c r="M44" s="15" t="s">
        <v>14</v>
      </c>
      <c r="N44" s="23" t="s">
        <v>11</v>
      </c>
      <c r="O44" s="24"/>
    </row>
    <row r="45" ht="22.5" customHeight="1">
      <c r="A45" s="5" t="s">
        <v>115</v>
      </c>
      <c r="B45" s="12" t="s">
        <v>9</v>
      </c>
      <c r="C45" s="12" t="s">
        <v>10</v>
      </c>
      <c r="D45" s="21" t="s">
        <v>11</v>
      </c>
      <c r="E45" s="14" t="s">
        <v>116</v>
      </c>
      <c r="F45" s="26" t="s">
        <v>117</v>
      </c>
      <c r="I45" s="8" t="b">
        <f t="shared" si="1"/>
        <v>1</v>
      </c>
      <c r="K45" s="9" t="s">
        <v>112</v>
      </c>
      <c r="L45" s="10" t="s">
        <v>9</v>
      </c>
      <c r="M45" s="10" t="s">
        <v>19</v>
      </c>
      <c r="N45" s="19"/>
      <c r="O45" s="20"/>
    </row>
    <row r="46" ht="22.5" customHeight="1">
      <c r="A46" s="5" t="s">
        <v>118</v>
      </c>
      <c r="B46" s="12" t="s">
        <v>9</v>
      </c>
      <c r="C46" s="12" t="s">
        <v>10</v>
      </c>
      <c r="D46" s="13"/>
      <c r="E46" s="25" t="s">
        <v>119</v>
      </c>
      <c r="I46" s="8" t="b">
        <f t="shared" si="1"/>
        <v>1</v>
      </c>
      <c r="K46" s="9" t="s">
        <v>115</v>
      </c>
      <c r="L46" s="15" t="s">
        <v>9</v>
      </c>
      <c r="M46" s="15" t="s">
        <v>10</v>
      </c>
      <c r="N46" s="23" t="s">
        <v>11</v>
      </c>
      <c r="O46" s="23" t="s">
        <v>117</v>
      </c>
    </row>
    <row r="47" ht="22.5" customHeight="1">
      <c r="A47" s="5" t="s">
        <v>120</v>
      </c>
      <c r="B47" s="12" t="s">
        <v>9</v>
      </c>
      <c r="C47" s="12" t="s">
        <v>19</v>
      </c>
      <c r="D47" s="13"/>
      <c r="E47" s="14" t="s">
        <v>121</v>
      </c>
      <c r="G47" s="26" t="s">
        <v>122</v>
      </c>
      <c r="I47" s="8" t="b">
        <f t="shared" si="1"/>
        <v>1</v>
      </c>
      <c r="K47" s="9" t="s">
        <v>118</v>
      </c>
      <c r="L47" s="15" t="s">
        <v>9</v>
      </c>
      <c r="M47" s="15" t="s">
        <v>10</v>
      </c>
      <c r="N47" s="18"/>
      <c r="O47" s="17"/>
    </row>
    <row r="48" ht="22.5" customHeight="1">
      <c r="A48" s="5" t="s">
        <v>123</v>
      </c>
      <c r="B48" s="12" t="s">
        <v>9</v>
      </c>
      <c r="C48" s="12" t="s">
        <v>14</v>
      </c>
      <c r="D48" s="13"/>
      <c r="E48" s="25" t="s">
        <v>124</v>
      </c>
      <c r="I48" s="8" t="b">
        <f t="shared" si="1"/>
        <v>1</v>
      </c>
      <c r="K48" s="9" t="s">
        <v>123</v>
      </c>
      <c r="L48" s="15" t="s">
        <v>9</v>
      </c>
      <c r="M48" s="15" t="s">
        <v>14</v>
      </c>
      <c r="O48" s="17"/>
    </row>
    <row r="49" ht="22.5" customHeight="1">
      <c r="A49" s="5" t="s">
        <v>125</v>
      </c>
      <c r="B49" s="12" t="s">
        <v>9</v>
      </c>
      <c r="C49" s="12" t="s">
        <v>14</v>
      </c>
      <c r="D49" s="13"/>
      <c r="E49" s="14" t="s">
        <v>126</v>
      </c>
      <c r="I49" s="8" t="b">
        <f t="shared" si="1"/>
        <v>1</v>
      </c>
      <c r="K49" s="9" t="s">
        <v>127</v>
      </c>
      <c r="L49" s="15" t="s">
        <v>9</v>
      </c>
      <c r="M49" s="15" t="s">
        <v>10</v>
      </c>
      <c r="N49" s="18"/>
      <c r="O49" s="17"/>
    </row>
    <row r="50" ht="22.5" customHeight="1">
      <c r="A50" s="5" t="s">
        <v>128</v>
      </c>
      <c r="B50" s="12" t="s">
        <v>9</v>
      </c>
      <c r="C50" s="12" t="s">
        <v>19</v>
      </c>
      <c r="D50" s="21" t="s">
        <v>53</v>
      </c>
      <c r="E50" s="14" t="s">
        <v>129</v>
      </c>
      <c r="F50" s="26" t="s">
        <v>130</v>
      </c>
      <c r="I50" s="8" t="b">
        <f t="shared" si="1"/>
        <v>1</v>
      </c>
      <c r="K50" s="9" t="s">
        <v>125</v>
      </c>
      <c r="L50" s="15" t="s">
        <v>9</v>
      </c>
      <c r="M50" s="15" t="s">
        <v>14</v>
      </c>
      <c r="N50" s="18"/>
      <c r="O50" s="17"/>
    </row>
    <row r="51" ht="22.5" customHeight="1">
      <c r="A51" s="5" t="s">
        <v>131</v>
      </c>
      <c r="B51" s="6" t="s">
        <v>9</v>
      </c>
      <c r="C51" s="6" t="s">
        <v>19</v>
      </c>
      <c r="D51" s="6" t="s">
        <v>53</v>
      </c>
      <c r="E51" s="25" t="s">
        <v>132</v>
      </c>
      <c r="I51" s="8" t="b">
        <f t="shared" si="1"/>
        <v>1</v>
      </c>
      <c r="K51" s="9" t="s">
        <v>128</v>
      </c>
      <c r="L51" s="15" t="s">
        <v>9</v>
      </c>
      <c r="M51" s="15" t="s">
        <v>19</v>
      </c>
      <c r="N51" s="23" t="s">
        <v>53</v>
      </c>
      <c r="O51" s="23" t="s">
        <v>130</v>
      </c>
    </row>
    <row r="52" ht="22.5" customHeight="1">
      <c r="A52" s="5" t="s">
        <v>133</v>
      </c>
      <c r="B52" s="6" t="s">
        <v>9</v>
      </c>
      <c r="C52" s="6" t="s">
        <v>19</v>
      </c>
      <c r="D52" s="6" t="s">
        <v>134</v>
      </c>
      <c r="E52" s="14" t="s">
        <v>135</v>
      </c>
      <c r="I52" s="8" t="b">
        <f t="shared" si="1"/>
        <v>1</v>
      </c>
      <c r="K52" s="9" t="s">
        <v>131</v>
      </c>
      <c r="L52" s="10" t="s">
        <v>9</v>
      </c>
      <c r="M52" s="10" t="s">
        <v>19</v>
      </c>
      <c r="N52" s="10" t="s">
        <v>53</v>
      </c>
      <c r="O52" s="11"/>
    </row>
    <row r="53" ht="22.5" customHeight="1">
      <c r="A53" s="5" t="s">
        <v>136</v>
      </c>
      <c r="B53" s="6" t="s">
        <v>9</v>
      </c>
      <c r="C53" s="6" t="s">
        <v>10</v>
      </c>
      <c r="D53" s="6" t="s">
        <v>11</v>
      </c>
      <c r="E53" s="14" t="s">
        <v>137</v>
      </c>
      <c r="I53" s="8" t="b">
        <f t="shared" si="1"/>
        <v>1</v>
      </c>
      <c r="K53" s="9" t="s">
        <v>133</v>
      </c>
      <c r="L53" s="10" t="s">
        <v>9</v>
      </c>
      <c r="M53" s="10" t="s">
        <v>19</v>
      </c>
      <c r="N53" s="10" t="s">
        <v>134</v>
      </c>
      <c r="O53" s="11"/>
    </row>
    <row r="54" ht="22.5" customHeight="1">
      <c r="A54" s="5" t="s">
        <v>138</v>
      </c>
      <c r="B54" s="12" t="s">
        <v>9</v>
      </c>
      <c r="C54" s="12" t="s">
        <v>19</v>
      </c>
      <c r="D54" s="13"/>
      <c r="E54" s="14" t="s">
        <v>139</v>
      </c>
      <c r="I54" s="8" t="b">
        <f t="shared" si="1"/>
        <v>1</v>
      </c>
      <c r="K54" s="9" t="s">
        <v>140</v>
      </c>
      <c r="L54" s="10" t="s">
        <v>9</v>
      </c>
      <c r="M54" s="10" t="s">
        <v>19</v>
      </c>
      <c r="N54" s="19"/>
      <c r="O54" s="20"/>
    </row>
    <row r="55" ht="22.5" customHeight="1">
      <c r="A55" s="5" t="s">
        <v>141</v>
      </c>
      <c r="B55" s="12" t="s">
        <v>9</v>
      </c>
      <c r="C55" s="12" t="s">
        <v>14</v>
      </c>
      <c r="D55" s="21" t="s">
        <v>11</v>
      </c>
      <c r="E55" s="25" t="s">
        <v>142</v>
      </c>
      <c r="F55" s="26" t="s">
        <v>143</v>
      </c>
      <c r="I55" s="8" t="b">
        <f t="shared" si="1"/>
        <v>1</v>
      </c>
      <c r="K55" s="9" t="s">
        <v>136</v>
      </c>
      <c r="L55" s="10" t="s">
        <v>9</v>
      </c>
      <c r="M55" s="10" t="s">
        <v>10</v>
      </c>
      <c r="N55" s="10" t="s">
        <v>11</v>
      </c>
      <c r="O55" s="11"/>
    </row>
    <row r="56" ht="22.5" customHeight="1">
      <c r="A56" s="5" t="s">
        <v>144</v>
      </c>
      <c r="B56" s="6" t="s">
        <v>9</v>
      </c>
      <c r="C56" s="6" t="s">
        <v>19</v>
      </c>
      <c r="D56" s="22"/>
      <c r="E56" s="14" t="s">
        <v>145</v>
      </c>
      <c r="I56" s="8" t="b">
        <f t="shared" si="1"/>
        <v>1</v>
      </c>
      <c r="K56" s="9" t="s">
        <v>138</v>
      </c>
      <c r="L56" s="15" t="s">
        <v>9</v>
      </c>
      <c r="M56" s="15" t="s">
        <v>19</v>
      </c>
      <c r="N56" s="18"/>
      <c r="O56" s="17"/>
    </row>
    <row r="57" ht="22.5" customHeight="1">
      <c r="A57" s="5" t="s">
        <v>146</v>
      </c>
      <c r="B57" s="12" t="s">
        <v>9</v>
      </c>
      <c r="C57" s="12" t="s">
        <v>19</v>
      </c>
      <c r="D57" s="13"/>
      <c r="E57" s="14" t="s">
        <v>147</v>
      </c>
      <c r="I57" s="8" t="b">
        <f t="shared" si="1"/>
        <v>1</v>
      </c>
      <c r="K57" s="9" t="s">
        <v>148</v>
      </c>
      <c r="L57" s="10" t="s">
        <v>9</v>
      </c>
      <c r="M57" s="10" t="s">
        <v>19</v>
      </c>
      <c r="N57" s="10" t="s">
        <v>20</v>
      </c>
      <c r="O57" s="11"/>
    </row>
    <row r="58" ht="22.5" customHeight="1">
      <c r="A58" s="5" t="s">
        <v>149</v>
      </c>
      <c r="B58" s="6" t="s">
        <v>150</v>
      </c>
      <c r="C58" s="6" t="s">
        <v>150</v>
      </c>
      <c r="D58" s="6" t="s">
        <v>11</v>
      </c>
      <c r="E58" s="14" t="s">
        <v>37</v>
      </c>
      <c r="I58" s="8" t="b">
        <f t="shared" si="1"/>
        <v>1</v>
      </c>
      <c r="K58" s="9" t="s">
        <v>141</v>
      </c>
      <c r="L58" s="15" t="s">
        <v>9</v>
      </c>
      <c r="M58" s="15" t="s">
        <v>14</v>
      </c>
      <c r="N58" s="23" t="s">
        <v>11</v>
      </c>
      <c r="O58" s="23" t="s">
        <v>143</v>
      </c>
    </row>
    <row r="59" ht="22.5" customHeight="1">
      <c r="A59" s="5" t="s">
        <v>151</v>
      </c>
      <c r="B59" s="6" t="s">
        <v>9</v>
      </c>
      <c r="C59" s="6" t="s">
        <v>19</v>
      </c>
      <c r="D59" s="6" t="s">
        <v>53</v>
      </c>
      <c r="E59" s="25" t="s">
        <v>152</v>
      </c>
      <c r="I59" s="8" t="b">
        <f t="shared" si="1"/>
        <v>1</v>
      </c>
      <c r="K59" s="9" t="s">
        <v>144</v>
      </c>
      <c r="L59" s="10" t="s">
        <v>9</v>
      </c>
      <c r="M59" s="10" t="s">
        <v>19</v>
      </c>
      <c r="N59" s="19"/>
      <c r="O59" s="20"/>
    </row>
    <row r="60" ht="22.5" customHeight="1">
      <c r="A60" s="5" t="s">
        <v>153</v>
      </c>
      <c r="B60" s="12" t="s">
        <v>9</v>
      </c>
      <c r="C60" s="12" t="s">
        <v>19</v>
      </c>
      <c r="D60" s="13"/>
      <c r="E60" s="14" t="s">
        <v>154</v>
      </c>
      <c r="I60" s="8" t="b">
        <f t="shared" si="1"/>
        <v>1</v>
      </c>
      <c r="K60" s="9" t="s">
        <v>146</v>
      </c>
      <c r="L60" s="15" t="s">
        <v>9</v>
      </c>
      <c r="M60" s="15" t="s">
        <v>19</v>
      </c>
      <c r="N60" s="18"/>
      <c r="O60" s="17"/>
    </row>
    <row r="61" ht="22.5" customHeight="1">
      <c r="A61" s="5" t="s">
        <v>155</v>
      </c>
      <c r="B61" s="6" t="s">
        <v>9</v>
      </c>
      <c r="C61" s="6" t="s">
        <v>19</v>
      </c>
      <c r="D61" s="6"/>
      <c r="E61" s="14" t="s">
        <v>156</v>
      </c>
      <c r="I61" s="8" t="b">
        <f t="shared" si="1"/>
        <v>1</v>
      </c>
      <c r="K61" s="9" t="s">
        <v>149</v>
      </c>
      <c r="L61" s="10" t="s">
        <v>150</v>
      </c>
      <c r="M61" s="10" t="s">
        <v>150</v>
      </c>
      <c r="N61" s="10" t="s">
        <v>11</v>
      </c>
      <c r="O61" s="11"/>
    </row>
    <row r="62" ht="22.5" customHeight="1">
      <c r="A62" s="5" t="s">
        <v>157</v>
      </c>
      <c r="B62" s="12" t="s">
        <v>9</v>
      </c>
      <c r="C62" s="12" t="s">
        <v>19</v>
      </c>
      <c r="D62" s="13"/>
      <c r="E62" s="14" t="s">
        <v>158</v>
      </c>
      <c r="I62" s="8" t="b">
        <f t="shared" si="1"/>
        <v>1</v>
      </c>
      <c r="K62" s="9" t="s">
        <v>151</v>
      </c>
      <c r="L62" s="10" t="s">
        <v>9</v>
      </c>
      <c r="M62" s="10" t="s">
        <v>19</v>
      </c>
      <c r="N62" s="10" t="s">
        <v>53</v>
      </c>
      <c r="O62" s="11"/>
    </row>
    <row r="63" ht="22.5" customHeight="1">
      <c r="A63" s="5" t="s">
        <v>159</v>
      </c>
      <c r="B63" s="12" t="s">
        <v>9</v>
      </c>
      <c r="C63" s="12" t="s">
        <v>19</v>
      </c>
      <c r="D63" s="21"/>
      <c r="E63" s="25" t="s">
        <v>160</v>
      </c>
      <c r="F63" s="26" t="s">
        <v>161</v>
      </c>
      <c r="I63" s="8" t="b">
        <f t="shared" si="1"/>
        <v>1</v>
      </c>
      <c r="K63" s="9" t="s">
        <v>155</v>
      </c>
      <c r="L63" s="10" t="s">
        <v>9</v>
      </c>
      <c r="M63" s="10" t="s">
        <v>19</v>
      </c>
      <c r="N63" s="10"/>
      <c r="O63" s="11"/>
    </row>
    <row r="64" ht="22.5" customHeight="1">
      <c r="A64" s="5" t="s">
        <v>162</v>
      </c>
      <c r="B64" s="6" t="s">
        <v>9</v>
      </c>
      <c r="C64" s="6" t="s">
        <v>19</v>
      </c>
      <c r="D64" s="6" t="s">
        <v>53</v>
      </c>
      <c r="E64" s="14" t="s">
        <v>163</v>
      </c>
      <c r="I64" s="8" t="b">
        <f t="shared" si="1"/>
        <v>1</v>
      </c>
      <c r="K64" s="9" t="s">
        <v>164</v>
      </c>
      <c r="L64" s="15" t="s">
        <v>9</v>
      </c>
      <c r="M64" s="16"/>
      <c r="N64" s="18"/>
      <c r="O64" s="17"/>
    </row>
    <row r="65" ht="22.5" customHeight="1">
      <c r="A65" s="5"/>
      <c r="B65" s="12"/>
      <c r="C65" s="12"/>
      <c r="D65" s="13"/>
      <c r="E65" s="14"/>
      <c r="I65" s="8" t="b">
        <f t="shared" si="1"/>
        <v>0</v>
      </c>
      <c r="K65" s="9" t="s">
        <v>165</v>
      </c>
      <c r="L65" s="23" t="s">
        <v>9</v>
      </c>
      <c r="M65" s="23" t="s">
        <v>14</v>
      </c>
      <c r="N65" s="23"/>
      <c r="O65" s="23" t="s">
        <v>166</v>
      </c>
    </row>
    <row r="66" ht="22.5" customHeight="1">
      <c r="A66" s="5"/>
      <c r="B66" s="6"/>
      <c r="C66" s="6"/>
      <c r="D66" s="22"/>
      <c r="E66" s="14"/>
      <c r="I66" s="8" t="b">
        <f t="shared" si="1"/>
        <v>0</v>
      </c>
      <c r="K66" s="9" t="s">
        <v>167</v>
      </c>
      <c r="L66" s="15" t="s">
        <v>9</v>
      </c>
      <c r="M66" s="15" t="s">
        <v>10</v>
      </c>
      <c r="N66" s="18"/>
      <c r="O66" s="17"/>
    </row>
    <row r="67" ht="22.5" customHeight="1">
      <c r="A67" s="5"/>
      <c r="B67" s="12"/>
      <c r="C67" s="12"/>
      <c r="D67" s="13"/>
      <c r="E67" s="25"/>
      <c r="I67" s="8" t="b">
        <f t="shared" si="1"/>
        <v>0</v>
      </c>
      <c r="K67" s="9" t="s">
        <v>159</v>
      </c>
      <c r="L67" s="15" t="s">
        <v>9</v>
      </c>
      <c r="M67" s="15" t="s">
        <v>19</v>
      </c>
      <c r="N67" s="23"/>
      <c r="O67" s="23" t="s">
        <v>161</v>
      </c>
    </row>
    <row r="68" ht="22.5" customHeight="1">
      <c r="A68" s="5"/>
      <c r="B68" s="12"/>
      <c r="C68" s="12"/>
      <c r="D68" s="13"/>
      <c r="E68" s="27"/>
      <c r="I68" s="8" t="b">
        <f t="shared" si="1"/>
        <v>0</v>
      </c>
      <c r="K68" s="9" t="s">
        <v>162</v>
      </c>
      <c r="L68" s="10" t="s">
        <v>9</v>
      </c>
      <c r="M68" s="10" t="s">
        <v>19</v>
      </c>
      <c r="N68" s="10" t="s">
        <v>53</v>
      </c>
      <c r="O68" s="11"/>
    </row>
    <row r="69" ht="22.5" customHeight="1">
      <c r="A69" s="5"/>
      <c r="B69" s="6"/>
      <c r="C69" s="6"/>
      <c r="D69" s="6"/>
      <c r="E69" s="27"/>
      <c r="I69" s="8" t="b">
        <f t="shared" si="1"/>
        <v>0</v>
      </c>
      <c r="K69" s="9" t="s">
        <v>68</v>
      </c>
      <c r="L69" s="15" t="s">
        <v>9</v>
      </c>
      <c r="M69" s="15" t="s">
        <v>14</v>
      </c>
      <c r="O69" s="17"/>
    </row>
    <row r="70" ht="22.5" customHeight="1">
      <c r="A70" s="5"/>
      <c r="B70" s="6"/>
      <c r="C70" s="6"/>
      <c r="D70" s="6"/>
      <c r="E70" s="14"/>
      <c r="I70" s="8" t="b">
        <f t="shared" si="1"/>
        <v>0</v>
      </c>
    </row>
    <row r="71" ht="22.5" customHeight="1">
      <c r="A71" s="5"/>
      <c r="B71" s="12"/>
      <c r="C71" s="12"/>
      <c r="D71" s="13"/>
      <c r="E71" s="27"/>
      <c r="I71" s="8" t="b">
        <f t="shared" si="1"/>
        <v>0</v>
      </c>
    </row>
    <row r="72" ht="22.5" customHeight="1">
      <c r="A72" s="5"/>
      <c r="B72" s="12"/>
      <c r="C72" s="12"/>
      <c r="D72" s="13"/>
      <c r="E72" s="27"/>
      <c r="I72" s="8" t="b">
        <f t="shared" si="1"/>
        <v>0</v>
      </c>
    </row>
    <row r="73" ht="22.5" customHeight="1">
      <c r="A73" s="5"/>
      <c r="B73" s="12"/>
      <c r="C73" s="12"/>
      <c r="D73" s="13"/>
      <c r="E73" s="27"/>
      <c r="I73" s="8" t="b">
        <f t="shared" si="1"/>
        <v>0</v>
      </c>
    </row>
    <row r="74" ht="22.5" customHeight="1">
      <c r="A74" s="5"/>
      <c r="B74" s="12"/>
      <c r="C74" s="12"/>
      <c r="D74" s="13"/>
      <c r="E74" s="27"/>
      <c r="I74" s="8" t="b">
        <f t="shared" si="1"/>
        <v>0</v>
      </c>
    </row>
    <row r="75" ht="22.5" customHeight="1">
      <c r="A75" s="5"/>
      <c r="B75" s="12"/>
      <c r="C75" s="12"/>
      <c r="D75" s="13"/>
      <c r="E75" s="27"/>
      <c r="I75" s="8" t="b">
        <f t="shared" si="1"/>
        <v>0</v>
      </c>
    </row>
    <row r="76" ht="22.5" customHeight="1">
      <c r="A76" s="5"/>
      <c r="B76" s="12"/>
      <c r="C76" s="12"/>
      <c r="D76" s="13"/>
      <c r="E76" s="27"/>
      <c r="I76" s="8" t="b">
        <f t="shared" si="1"/>
        <v>0</v>
      </c>
    </row>
    <row r="77" ht="22.5" customHeight="1">
      <c r="A77" s="5"/>
      <c r="B77" s="12"/>
      <c r="C77" s="12"/>
      <c r="D77" s="13"/>
      <c r="E77" s="27"/>
      <c r="I77" s="8" t="b">
        <f t="shared" si="1"/>
        <v>0</v>
      </c>
    </row>
    <row r="78" ht="22.5" customHeight="1">
      <c r="A78" s="5"/>
      <c r="B78" s="12"/>
      <c r="C78" s="12"/>
      <c r="D78" s="13"/>
      <c r="E78" s="27"/>
      <c r="I78" s="8" t="b">
        <f t="shared" si="1"/>
        <v>0</v>
      </c>
    </row>
    <row r="79" ht="22.5" customHeight="1">
      <c r="A79" s="5"/>
      <c r="B79" s="6"/>
      <c r="C79" s="6"/>
      <c r="D79" s="6"/>
      <c r="E79" s="27"/>
      <c r="I79" s="8" t="b">
        <f t="shared" si="1"/>
        <v>0</v>
      </c>
    </row>
    <row r="80" ht="22.5" customHeight="1">
      <c r="A80" s="5"/>
      <c r="B80" s="12"/>
      <c r="C80" s="12"/>
      <c r="D80" s="13"/>
      <c r="E80" s="27"/>
      <c r="I80" s="8" t="b">
        <f t="shared" si="1"/>
        <v>0</v>
      </c>
    </row>
    <row r="81" ht="22.5" customHeight="1">
      <c r="A81" s="5"/>
      <c r="B81" s="12"/>
      <c r="C81" s="12"/>
      <c r="D81" s="13"/>
      <c r="E81" s="27"/>
      <c r="I81" s="8" t="b">
        <f t="shared" si="1"/>
        <v>0</v>
      </c>
    </row>
    <row r="82" ht="22.5" customHeight="1">
      <c r="A82" s="5"/>
      <c r="B82" s="12"/>
      <c r="C82" s="12"/>
      <c r="D82" s="13"/>
      <c r="E82" s="27"/>
      <c r="I82" s="8" t="b">
        <f t="shared" si="1"/>
        <v>0</v>
      </c>
    </row>
    <row r="83" ht="22.5" customHeight="1">
      <c r="A83" s="5"/>
      <c r="B83" s="6"/>
      <c r="C83" s="6"/>
      <c r="D83" s="6"/>
      <c r="E83" s="27"/>
      <c r="I83" s="8" t="b">
        <f t="shared" si="1"/>
        <v>0</v>
      </c>
    </row>
    <row r="84" ht="22.5" customHeight="1">
      <c r="A84" s="5"/>
      <c r="B84" s="12"/>
      <c r="C84" s="28"/>
      <c r="D84" s="13"/>
      <c r="E84" s="27"/>
      <c r="I84" s="8" t="b">
        <f t="shared" si="1"/>
        <v>0</v>
      </c>
    </row>
    <row r="85" ht="22.5" customHeight="1">
      <c r="A85" s="5"/>
      <c r="B85" s="12"/>
      <c r="C85" s="12"/>
      <c r="D85" s="13"/>
      <c r="E85" s="27"/>
      <c r="I85" s="8" t="b">
        <f t="shared" si="1"/>
        <v>0</v>
      </c>
    </row>
    <row r="86" ht="22.5" customHeight="1">
      <c r="A86" s="5"/>
      <c r="B86" s="6"/>
      <c r="C86" s="6"/>
      <c r="D86" s="22"/>
      <c r="E86" s="27"/>
      <c r="I86" s="8" t="b">
        <f t="shared" si="1"/>
        <v>0</v>
      </c>
    </row>
    <row r="87" ht="22.5" customHeight="1">
      <c r="A87" s="5"/>
      <c r="B87" s="12"/>
      <c r="C87" s="12"/>
      <c r="D87" s="13"/>
      <c r="E87" s="27"/>
      <c r="I87" s="8" t="b">
        <f t="shared" si="1"/>
        <v>0</v>
      </c>
    </row>
    <row r="88" ht="22.5" customHeight="1">
      <c r="A88" s="5"/>
      <c r="B88" s="6"/>
      <c r="C88" s="6"/>
      <c r="D88" s="6"/>
      <c r="E88" s="27"/>
      <c r="I88" s="8" t="b">
        <f t="shared" si="1"/>
        <v>0</v>
      </c>
    </row>
    <row r="89" ht="22.5" customHeight="1">
      <c r="A89" s="5"/>
      <c r="B89" s="12"/>
      <c r="C89" s="12"/>
      <c r="D89" s="13"/>
      <c r="E89" s="27"/>
      <c r="I89" s="8" t="b">
        <f t="shared" si="1"/>
        <v>0</v>
      </c>
    </row>
    <row r="90" ht="22.5" customHeight="1">
      <c r="A90" s="5"/>
      <c r="B90" s="12"/>
      <c r="C90" s="12"/>
      <c r="D90" s="13"/>
      <c r="E90" s="27"/>
      <c r="I90" s="8" t="b">
        <f t="shared" si="1"/>
        <v>0</v>
      </c>
    </row>
    <row r="91" ht="22.5" customHeight="1">
      <c r="A91" s="5"/>
      <c r="B91" s="12"/>
      <c r="C91" s="12"/>
      <c r="D91" s="13"/>
      <c r="E91" s="27"/>
      <c r="I91" s="8" t="b">
        <f t="shared" si="1"/>
        <v>0</v>
      </c>
    </row>
    <row r="92" ht="22.5" customHeight="1">
      <c r="A92" s="5"/>
      <c r="B92" s="12"/>
      <c r="C92" s="28"/>
      <c r="D92" s="13"/>
      <c r="E92" s="27"/>
      <c r="I92" s="8" t="b">
        <f t="shared" si="1"/>
        <v>0</v>
      </c>
    </row>
    <row r="93" ht="22.5" customHeight="1">
      <c r="A93" s="5"/>
      <c r="B93" s="12"/>
      <c r="C93" s="12"/>
      <c r="D93" s="13"/>
      <c r="E93" s="27"/>
      <c r="I93" s="8" t="b">
        <f t="shared" si="1"/>
        <v>0</v>
      </c>
    </row>
    <row r="94" ht="22.5" customHeight="1">
      <c r="A94" s="5"/>
      <c r="B94" s="6"/>
      <c r="C94" s="6"/>
      <c r="D94" s="22"/>
      <c r="E94" s="27"/>
      <c r="I94" s="8" t="b">
        <f t="shared" si="1"/>
        <v>0</v>
      </c>
    </row>
    <row r="95" ht="22.5" customHeight="1">
      <c r="A95" s="5"/>
      <c r="B95" s="12"/>
      <c r="C95" s="12"/>
      <c r="D95" s="13"/>
      <c r="E95" s="27"/>
      <c r="I95" s="8" t="b">
        <f t="shared" si="1"/>
        <v>0</v>
      </c>
    </row>
    <row r="96" ht="22.5" customHeight="1">
      <c r="A96" s="5"/>
      <c r="B96" s="12"/>
      <c r="C96" s="12"/>
      <c r="D96" s="13"/>
      <c r="E96" s="27"/>
      <c r="I96" s="8" t="b">
        <f t="shared" si="1"/>
        <v>0</v>
      </c>
    </row>
    <row r="97" ht="22.5" customHeight="1">
      <c r="A97" s="5"/>
      <c r="B97" s="12"/>
      <c r="C97" s="12"/>
      <c r="D97" s="13"/>
      <c r="E97" s="27"/>
      <c r="I97" s="8" t="b">
        <f t="shared" si="1"/>
        <v>0</v>
      </c>
    </row>
    <row r="98" ht="22.5" customHeight="1">
      <c r="A98" s="5"/>
      <c r="B98" s="12"/>
      <c r="C98" s="12"/>
      <c r="D98" s="13"/>
      <c r="E98" s="27"/>
      <c r="I98" s="8" t="b">
        <f t="shared" si="1"/>
        <v>0</v>
      </c>
    </row>
    <row r="99" ht="22.5" customHeight="1">
      <c r="A99" s="5"/>
      <c r="B99" s="12"/>
      <c r="C99" s="12"/>
      <c r="D99" s="13"/>
      <c r="E99" s="27"/>
      <c r="I99" s="8" t="b">
        <f t="shared" si="1"/>
        <v>0</v>
      </c>
    </row>
    <row r="100" ht="22.5" customHeight="1">
      <c r="A100" s="5"/>
      <c r="B100" s="12"/>
      <c r="C100" s="28"/>
      <c r="D100" s="13"/>
      <c r="E100" s="27"/>
      <c r="I100" s="8" t="b">
        <f t="shared" si="1"/>
        <v>0</v>
      </c>
    </row>
    <row r="101" ht="22.5" customHeight="1">
      <c r="A101" s="5"/>
      <c r="B101" s="6"/>
      <c r="C101" s="6"/>
      <c r="D101" s="6"/>
      <c r="E101" s="27"/>
      <c r="I101" s="8" t="b">
        <f t="shared" si="1"/>
        <v>0</v>
      </c>
    </row>
    <row r="102" ht="22.5" customHeight="1">
      <c r="A102" s="5"/>
      <c r="B102" s="12"/>
      <c r="C102" s="12"/>
      <c r="D102" s="13"/>
      <c r="E102" s="27"/>
      <c r="I102" s="8" t="b">
        <f t="shared" si="1"/>
        <v>0</v>
      </c>
    </row>
    <row r="103" ht="22.5" customHeight="1">
      <c r="A103" s="5"/>
      <c r="B103" s="6"/>
      <c r="C103" s="6"/>
      <c r="D103" s="22"/>
      <c r="E103" s="27"/>
      <c r="I103" s="8" t="b">
        <f t="shared" si="1"/>
        <v>0</v>
      </c>
    </row>
    <row r="104" ht="22.5" customHeight="1">
      <c r="A104" s="5"/>
      <c r="B104" s="12"/>
      <c r="C104" s="12"/>
      <c r="D104" s="13"/>
      <c r="E104" s="27"/>
      <c r="I104" s="8" t="b">
        <f t="shared" si="1"/>
        <v>0</v>
      </c>
    </row>
    <row r="105" ht="22.5" customHeight="1">
      <c r="A105" s="5"/>
      <c r="B105" s="12"/>
      <c r="C105" s="12"/>
      <c r="D105" s="13"/>
      <c r="E105" s="27"/>
      <c r="I105" s="8" t="b">
        <f t="shared" si="1"/>
        <v>0</v>
      </c>
    </row>
    <row r="106" ht="22.5" customHeight="1">
      <c r="A106" s="5"/>
      <c r="B106" s="12"/>
      <c r="C106" s="28"/>
      <c r="D106" s="13"/>
      <c r="E106" s="27"/>
      <c r="I106" s="8" t="b">
        <f t="shared" si="1"/>
        <v>0</v>
      </c>
    </row>
    <row r="107" ht="22.5" customHeight="1">
      <c r="A107" s="5"/>
      <c r="B107" s="6"/>
      <c r="C107" s="6"/>
      <c r="D107" s="6"/>
      <c r="E107" s="27"/>
      <c r="I107" s="8" t="b">
        <f t="shared" si="1"/>
        <v>0</v>
      </c>
    </row>
    <row r="108" ht="22.5" customHeight="1">
      <c r="A108" s="5"/>
      <c r="B108" s="6"/>
      <c r="C108" s="6"/>
      <c r="D108" s="22"/>
      <c r="E108" s="27"/>
      <c r="I108" s="8" t="b">
        <f t="shared" si="1"/>
        <v>0</v>
      </c>
    </row>
    <row r="109" ht="22.5" customHeight="1">
      <c r="A109" s="5"/>
      <c r="B109" s="12"/>
      <c r="C109" s="12"/>
      <c r="D109" s="13"/>
      <c r="E109" s="27"/>
      <c r="I109" s="8" t="b">
        <f t="shared" si="1"/>
        <v>0</v>
      </c>
    </row>
    <row r="110" ht="22.5" customHeight="1">
      <c r="A110" s="5"/>
      <c r="B110" s="12"/>
      <c r="C110" s="12"/>
      <c r="D110" s="13"/>
      <c r="E110" s="27"/>
      <c r="I110" s="8" t="b">
        <f t="shared" si="1"/>
        <v>0</v>
      </c>
    </row>
    <row r="111" ht="22.5" customHeight="1">
      <c r="A111" s="5"/>
      <c r="B111" s="28"/>
      <c r="C111" s="28"/>
      <c r="D111" s="13"/>
      <c r="E111" s="27"/>
      <c r="I111" s="8" t="b">
        <f t="shared" si="1"/>
        <v>0</v>
      </c>
    </row>
    <row r="112" ht="22.5" customHeight="1">
      <c r="A112" s="5"/>
      <c r="B112" s="28"/>
      <c r="C112" s="28"/>
      <c r="D112" s="13"/>
      <c r="E112" s="27"/>
      <c r="I112" s="8" t="b">
        <f t="shared" si="1"/>
        <v>0</v>
      </c>
    </row>
    <row r="113" ht="22.5" customHeight="1">
      <c r="A113" s="5"/>
      <c r="B113" s="28"/>
      <c r="C113" s="28"/>
      <c r="D113" s="13"/>
      <c r="E113" s="27"/>
      <c r="I113" s="8" t="b">
        <f t="shared" si="1"/>
        <v>0</v>
      </c>
    </row>
    <row r="114" ht="22.5" customHeight="1">
      <c r="A114" s="5"/>
      <c r="B114" s="28"/>
      <c r="C114" s="28"/>
      <c r="D114" s="13"/>
      <c r="E114" s="27"/>
      <c r="I114" s="8" t="b">
        <f t="shared" si="1"/>
        <v>0</v>
      </c>
    </row>
    <row r="115" ht="22.5" customHeight="1">
      <c r="A115" s="5"/>
      <c r="B115" s="28"/>
      <c r="C115" s="28"/>
      <c r="D115" s="13"/>
      <c r="E115" s="27"/>
      <c r="I115" s="8" t="b">
        <f t="shared" si="1"/>
        <v>0</v>
      </c>
    </row>
    <row r="116" ht="22.5" customHeight="1">
      <c r="A116" s="5"/>
      <c r="B116" s="28"/>
      <c r="C116" s="28"/>
      <c r="D116" s="13"/>
      <c r="E116" s="27"/>
      <c r="I116" s="8" t="b">
        <f t="shared" si="1"/>
        <v>0</v>
      </c>
    </row>
    <row r="117" ht="22.5" customHeight="1">
      <c r="A117" s="5"/>
      <c r="B117" s="28"/>
      <c r="C117" s="28"/>
      <c r="D117" s="13"/>
      <c r="E117" s="27"/>
      <c r="I117" s="8" t="b">
        <f t="shared" si="1"/>
        <v>0</v>
      </c>
    </row>
    <row r="118" ht="22.5" customHeight="1">
      <c r="A118" s="5"/>
      <c r="B118" s="28"/>
      <c r="C118" s="28"/>
      <c r="D118" s="13"/>
      <c r="E118" s="27"/>
      <c r="I118" s="8" t="b">
        <f t="shared" si="1"/>
        <v>0</v>
      </c>
    </row>
    <row r="119" ht="22.5" customHeight="1">
      <c r="A119" s="5"/>
      <c r="B119" s="28"/>
      <c r="C119" s="28"/>
      <c r="D119" s="13"/>
      <c r="E119" s="27"/>
      <c r="I119" s="8" t="b">
        <f t="shared" si="1"/>
        <v>0</v>
      </c>
    </row>
    <row r="120" ht="22.5" customHeight="1">
      <c r="A120" s="5"/>
      <c r="B120" s="28"/>
      <c r="C120" s="28"/>
      <c r="D120" s="13"/>
      <c r="E120" s="27"/>
      <c r="I120" s="8" t="b">
        <f t="shared" si="1"/>
        <v>0</v>
      </c>
    </row>
    <row r="121" ht="22.5" customHeight="1">
      <c r="A121" s="5"/>
      <c r="B121" s="28"/>
      <c r="C121" s="28"/>
      <c r="D121" s="13"/>
      <c r="E121" s="27"/>
      <c r="I121" s="8" t="b">
        <f t="shared" si="1"/>
        <v>0</v>
      </c>
    </row>
    <row r="122" ht="22.5" customHeight="1">
      <c r="A122" s="5"/>
      <c r="B122" s="28"/>
      <c r="C122" s="28"/>
      <c r="D122" s="13"/>
      <c r="E122" s="27"/>
      <c r="I122" s="8" t="b">
        <f t="shared" si="1"/>
        <v>0</v>
      </c>
    </row>
    <row r="123" ht="22.5" customHeight="1">
      <c r="A123" s="5"/>
      <c r="B123" s="28"/>
      <c r="C123" s="28"/>
      <c r="D123" s="13"/>
      <c r="E123" s="27"/>
      <c r="I123" s="8" t="b">
        <f t="shared" si="1"/>
        <v>0</v>
      </c>
    </row>
    <row r="124" ht="22.5" customHeight="1">
      <c r="A124" s="5"/>
      <c r="B124" s="28"/>
      <c r="C124" s="28"/>
      <c r="D124" s="13"/>
      <c r="E124" s="27"/>
      <c r="I124" s="8" t="b">
        <f t="shared" si="1"/>
        <v>0</v>
      </c>
    </row>
    <row r="125" ht="22.5" customHeight="1">
      <c r="A125" s="5"/>
      <c r="B125" s="28"/>
      <c r="C125" s="28"/>
      <c r="D125" s="13"/>
      <c r="E125" s="27"/>
      <c r="I125" s="8" t="b">
        <f t="shared" si="1"/>
        <v>0</v>
      </c>
    </row>
    <row r="126" ht="22.5" customHeight="1">
      <c r="A126" s="5"/>
      <c r="B126" s="28"/>
      <c r="C126" s="28"/>
      <c r="D126" s="13"/>
      <c r="E126" s="27"/>
      <c r="I126" s="8" t="b">
        <f t="shared" si="1"/>
        <v>0</v>
      </c>
    </row>
    <row r="127" ht="22.5" customHeight="1">
      <c r="A127" s="5"/>
      <c r="B127" s="28"/>
      <c r="C127" s="28"/>
      <c r="D127" s="13"/>
      <c r="E127" s="27"/>
      <c r="I127" s="8" t="b">
        <f t="shared" si="1"/>
        <v>0</v>
      </c>
    </row>
    <row r="128" ht="22.5" customHeight="1">
      <c r="A128" s="5"/>
      <c r="B128" s="28"/>
      <c r="C128" s="28"/>
      <c r="D128" s="13"/>
      <c r="E128" s="27"/>
      <c r="I128" s="8" t="b">
        <f t="shared" si="1"/>
        <v>0</v>
      </c>
    </row>
    <row r="129" ht="22.5" customHeight="1">
      <c r="A129" s="5"/>
      <c r="B129" s="28"/>
      <c r="C129" s="28"/>
      <c r="D129" s="13"/>
      <c r="E129" s="27"/>
      <c r="I129" s="8" t="b">
        <f t="shared" si="1"/>
        <v>0</v>
      </c>
    </row>
    <row r="130" ht="22.5" customHeight="1">
      <c r="A130" s="5"/>
      <c r="B130" s="28"/>
      <c r="C130" s="28"/>
      <c r="D130" s="13"/>
      <c r="E130" s="27"/>
      <c r="I130" s="8" t="b">
        <f t="shared" si="1"/>
        <v>0</v>
      </c>
    </row>
    <row r="131" ht="22.5" customHeight="1">
      <c r="A131" s="5"/>
      <c r="B131" s="28"/>
      <c r="C131" s="28"/>
      <c r="D131" s="13"/>
      <c r="E131" s="27"/>
      <c r="I131" s="8" t="b">
        <f t="shared" si="1"/>
        <v>0</v>
      </c>
    </row>
    <row r="132" ht="22.5" customHeight="1">
      <c r="A132" s="5"/>
      <c r="B132" s="28"/>
      <c r="C132" s="28"/>
      <c r="D132" s="13"/>
      <c r="E132" s="27"/>
      <c r="I132" s="8" t="b">
        <f t="shared" si="1"/>
        <v>0</v>
      </c>
    </row>
    <row r="133" ht="22.5" customHeight="1">
      <c r="A133" s="5"/>
      <c r="B133" s="28"/>
      <c r="C133" s="28"/>
      <c r="D133" s="13"/>
      <c r="E133" s="27"/>
      <c r="I133" s="8" t="b">
        <f t="shared" si="1"/>
        <v>0</v>
      </c>
    </row>
    <row r="134" ht="22.5" customHeight="1">
      <c r="A134" s="5"/>
      <c r="B134" s="28"/>
      <c r="C134" s="28"/>
      <c r="D134" s="13"/>
      <c r="E134" s="27"/>
      <c r="I134" s="8" t="b">
        <f t="shared" si="1"/>
        <v>0</v>
      </c>
    </row>
    <row r="135" ht="22.5" customHeight="1">
      <c r="A135" s="5"/>
      <c r="B135" s="28"/>
      <c r="C135" s="28"/>
      <c r="D135" s="13"/>
      <c r="E135" s="27"/>
      <c r="I135" s="8" t="b">
        <f t="shared" si="1"/>
        <v>0</v>
      </c>
    </row>
    <row r="136" ht="22.5" customHeight="1">
      <c r="A136" s="5"/>
      <c r="B136" s="28"/>
      <c r="C136" s="28"/>
      <c r="D136" s="13"/>
      <c r="E136" s="27"/>
      <c r="I136" s="8" t="b">
        <f t="shared" si="1"/>
        <v>0</v>
      </c>
    </row>
    <row r="137" ht="22.5" customHeight="1">
      <c r="A137" s="5"/>
      <c r="B137" s="28"/>
      <c r="C137" s="28"/>
      <c r="D137" s="13"/>
      <c r="E137" s="27"/>
      <c r="I137" s="8" t="b">
        <f t="shared" si="1"/>
        <v>0</v>
      </c>
    </row>
    <row r="138" ht="22.5" customHeight="1">
      <c r="A138" s="5"/>
      <c r="B138" s="28"/>
      <c r="C138" s="28"/>
      <c r="D138" s="13"/>
      <c r="E138" s="27"/>
      <c r="I138" s="8" t="b">
        <f t="shared" si="1"/>
        <v>0</v>
      </c>
    </row>
    <row r="139" ht="22.5" customHeight="1">
      <c r="A139" s="5"/>
      <c r="B139" s="28"/>
      <c r="C139" s="28"/>
      <c r="D139" s="13"/>
      <c r="E139" s="27"/>
      <c r="I139" s="8" t="b">
        <f t="shared" si="1"/>
        <v>0</v>
      </c>
    </row>
    <row r="140" ht="22.5" customHeight="1">
      <c r="A140" s="5"/>
      <c r="B140" s="28"/>
      <c r="C140" s="28"/>
      <c r="D140" s="13"/>
      <c r="E140" s="27"/>
      <c r="I140" s="8" t="b">
        <f t="shared" si="1"/>
        <v>0</v>
      </c>
    </row>
    <row r="141" ht="22.5" customHeight="1">
      <c r="A141" s="5"/>
      <c r="B141" s="28"/>
      <c r="C141" s="28"/>
      <c r="D141" s="13"/>
      <c r="E141" s="27"/>
      <c r="I141" s="8" t="b">
        <f t="shared" si="1"/>
        <v>0</v>
      </c>
    </row>
    <row r="142" ht="22.5" customHeight="1">
      <c r="A142" s="5"/>
      <c r="B142" s="28"/>
      <c r="C142" s="28"/>
      <c r="D142" s="13"/>
      <c r="E142" s="27"/>
      <c r="I142" s="8" t="b">
        <f t="shared" si="1"/>
        <v>0</v>
      </c>
    </row>
    <row r="143" ht="22.5" customHeight="1">
      <c r="A143" s="5"/>
      <c r="B143" s="28"/>
      <c r="C143" s="28"/>
      <c r="D143" s="13"/>
      <c r="E143" s="27"/>
      <c r="I143" s="8" t="b">
        <f t="shared" si="1"/>
        <v>0</v>
      </c>
    </row>
    <row r="144" ht="22.5" customHeight="1">
      <c r="A144" s="5"/>
      <c r="B144" s="28"/>
      <c r="C144" s="28"/>
      <c r="D144" s="13"/>
      <c r="E144" s="27"/>
      <c r="I144" s="8" t="b">
        <f t="shared" si="1"/>
        <v>0</v>
      </c>
    </row>
    <row r="145" ht="22.5" customHeight="1">
      <c r="A145" s="5"/>
      <c r="B145" s="28"/>
      <c r="C145" s="28"/>
      <c r="D145" s="13"/>
      <c r="E145" s="27"/>
      <c r="I145" s="8" t="b">
        <f t="shared" si="1"/>
        <v>0</v>
      </c>
    </row>
    <row r="146" ht="22.5" customHeight="1">
      <c r="A146" s="5"/>
      <c r="B146" s="28"/>
      <c r="C146" s="28"/>
      <c r="D146" s="13"/>
      <c r="E146" s="27"/>
      <c r="I146" s="8" t="b">
        <f t="shared" si="1"/>
        <v>0</v>
      </c>
    </row>
    <row r="147" ht="22.5" customHeight="1">
      <c r="A147" s="5"/>
      <c r="B147" s="28"/>
      <c r="C147" s="28"/>
      <c r="D147" s="13"/>
      <c r="E147" s="27"/>
      <c r="I147" s="8" t="b">
        <f t="shared" si="1"/>
        <v>0</v>
      </c>
    </row>
    <row r="148" ht="22.5" customHeight="1">
      <c r="A148" s="5"/>
      <c r="B148" s="28"/>
      <c r="C148" s="28"/>
      <c r="D148" s="13"/>
      <c r="E148" s="27"/>
      <c r="I148" s="8" t="b">
        <f t="shared" si="1"/>
        <v>0</v>
      </c>
    </row>
    <row r="149" ht="22.5" customHeight="1">
      <c r="A149" s="5"/>
      <c r="B149" s="28"/>
      <c r="C149" s="28"/>
      <c r="D149" s="13"/>
      <c r="E149" s="27"/>
      <c r="I149" s="8" t="b">
        <f t="shared" si="1"/>
        <v>0</v>
      </c>
    </row>
    <row r="150" ht="22.5" customHeight="1">
      <c r="A150" s="5"/>
      <c r="B150" s="28"/>
      <c r="C150" s="28"/>
      <c r="D150" s="13"/>
      <c r="E150" s="27"/>
      <c r="I150" s="8" t="b">
        <f t="shared" si="1"/>
        <v>0</v>
      </c>
    </row>
  </sheetData>
  <dataValidations>
    <dataValidation type="list" allowBlank="1" showErrorMessage="1" sqref="D2:D150">
      <formula1>"땅,물,바람,불,속성X"</formula1>
    </dataValidation>
    <dataValidation type="list" allowBlank="1" showErrorMessage="1" sqref="L2:L69">
      <formula1>"군주,부군주,혈맹원"</formula1>
    </dataValidation>
    <dataValidation type="list" allowBlank="1" showErrorMessage="1" sqref="M2:M69">
      <formula1>"군주,기사,요정,마법사"</formula1>
    </dataValidation>
    <dataValidation type="list" allowBlank="1" showErrorMessage="1" sqref="C2:C150">
      <formula1>"군주,기사,요정,마법사"</formula1>
    </dataValidation>
    <dataValidation type="list" allowBlank="1" showErrorMessage="1" sqref="N2:N17 N19:N36 N38:N47 N49:N68">
      <formula1>"땅,물,바람,불,속성X"</formula1>
    </dataValidation>
    <dataValidation type="list" allowBlank="1" showErrorMessage="1" sqref="B2:B150">
      <formula1>"군주,부군주,혈맹원"</formula1>
    </dataValidation>
    <dataValidation allowBlank="1" showDropDown="1" sqref="E2:E150"/>
  </dataValidations>
  <drawing r:id="rId1"/>
  <tableParts count="3">
    <tablePart r:id="rId5"/>
    <tablePart r:id="rId6"/>
    <tablePart r:id="rId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9" t="str">
        <f>IFERROR(__xludf.DUMMYFUNCTION("FILTER('혈맹원 정보'!A2:A1000, '혈맹원 정보'!A2:A1000&lt;&gt;"""")"),"개백수")</f>
        <v>개백수</v>
      </c>
      <c r="B1" s="23" t="b">
        <v>0</v>
      </c>
      <c r="C1" s="30">
        <f>IF(Z1="","",COUNTIF('건들지말것'!A:A,Z1))</f>
        <v>126</v>
      </c>
      <c r="D1" s="8">
        <f t="shared" ref="D1:D174" si="1">C1/$H$1</f>
        <v>0.3549295775</v>
      </c>
      <c r="E1" s="8" t="str">
        <f>IFERROR(VLOOKUP(TRIM(A1), '혈맹원 정보'!A:C, 3, FALSE), "")</f>
        <v>기사</v>
      </c>
      <c r="F1" s="23" t="b">
        <v>0</v>
      </c>
      <c r="G1" s="31" t="b">
        <v>0</v>
      </c>
      <c r="H1" s="32">
        <v>355.0</v>
      </c>
      <c r="X1" s="8" t="b">
        <f t="shared" ref="X1:X23" si="2">ISTEXT(Z1)</f>
        <v>1</v>
      </c>
      <c r="Z1" s="33" t="str">
        <f t="array" ref="Z1">IF(A1="","",
IFERROR(
INDEX('혈맹원 정보'!E$2:E1000,
MATCH(A1, '혈맹원 정보'!A$2:A1000, 0)
),
""))</f>
        <v>1053683139056255027</v>
      </c>
    </row>
    <row r="2">
      <c r="A2" s="29" t="str">
        <f>IFERROR(__xludf.DUMMYFUNCTION("""COMPUTED_VALUE"""),"김현지")</f>
        <v>김현지</v>
      </c>
      <c r="B2" s="23" t="b">
        <v>0</v>
      </c>
      <c r="C2" s="30">
        <f>IF(Z2="","",COUNTIF('건들지말것'!A:A,Z2))</f>
        <v>79</v>
      </c>
      <c r="D2" s="8">
        <f t="shared" si="1"/>
        <v>0.2225352113</v>
      </c>
      <c r="E2" s="8" t="str">
        <f>IFERROR(VLOOKUP(TRIM(A2), '혈맹원 정보'!A:C, 3, FALSE), "")</f>
        <v>마법사</v>
      </c>
      <c r="F2" s="23" t="b">
        <v>0</v>
      </c>
      <c r="G2" s="34" t="s">
        <v>168</v>
      </c>
      <c r="I2" s="35" t="s">
        <v>169</v>
      </c>
      <c r="X2" s="8" t="b">
        <f t="shared" si="2"/>
        <v>1</v>
      </c>
      <c r="Z2" s="33" t="str">
        <f t="array" ref="Z2">IF(A2="","",
IFERROR(
INDEX('혈맹원 정보'!E$2:E1000,
MATCH(A2, '혈맹원 정보'!A$2:A1000, 0)
),
""))</f>
        <v>1482308176677437453</v>
      </c>
    </row>
    <row r="3">
      <c r="A3" s="29" t="str">
        <f>IFERROR(__xludf.DUMMYFUNCTION("""COMPUTED_VALUE"""),"꽃냥")</f>
        <v>꽃냥</v>
      </c>
      <c r="B3" s="23" t="b">
        <v>0</v>
      </c>
      <c r="C3" s="30">
        <f>IF(Z3="","",COUNTIF('건들지말것'!A:A,Z3))</f>
        <v>34</v>
      </c>
      <c r="D3" s="8">
        <f t="shared" si="1"/>
        <v>0.09577464789</v>
      </c>
      <c r="E3" s="8" t="str">
        <f>IFERROR(VLOOKUP(TRIM(A3), '혈맹원 정보'!A:C, 3, FALSE), "")</f>
        <v>기사</v>
      </c>
      <c r="F3" s="23" t="b">
        <v>0</v>
      </c>
      <c r="X3" s="8" t="b">
        <f t="shared" si="2"/>
        <v>1</v>
      </c>
      <c r="Z3" s="33" t="str">
        <f t="array" ref="Z3">IF(A3="","",
IFERROR(
INDEX('혈맹원 정보'!E$2:E1000,
MATCH(A3, '혈맹원 정보'!A$2:A1000, 0)
),
""))</f>
        <v>1346882990118273115</v>
      </c>
    </row>
    <row r="4">
      <c r="A4" s="29" t="str">
        <f>IFERROR(__xludf.DUMMYFUNCTION("""COMPUTED_VALUE"""),"다뢰")</f>
        <v>다뢰</v>
      </c>
      <c r="B4" s="23" t="b">
        <v>0</v>
      </c>
      <c r="C4" s="30">
        <f>IF(Z4="","",COUNTIF('건들지말것'!A:A,Z4))</f>
        <v>26</v>
      </c>
      <c r="D4" s="8">
        <f t="shared" si="1"/>
        <v>0.07323943662</v>
      </c>
      <c r="E4" s="8" t="str">
        <f>IFERROR(VLOOKUP(TRIM(A4), '혈맹원 정보'!A:C, 3, FALSE), "")</f>
        <v>요정</v>
      </c>
      <c r="F4" s="23" t="b">
        <v>0</v>
      </c>
      <c r="X4" s="8" t="b">
        <f t="shared" si="2"/>
        <v>1</v>
      </c>
      <c r="Z4" s="33" t="str">
        <f t="array" ref="Z4">IF(A4="","",
IFERROR(
INDEX('혈맹원 정보'!E$2:E1000,
MATCH(A4, '혈맹원 정보'!A$2:A1000, 0)
),
""))</f>
        <v>376298390822060034</v>
      </c>
    </row>
    <row r="5">
      <c r="A5" s="29" t="str">
        <f>IFERROR(__xludf.DUMMYFUNCTION("""COMPUTED_VALUE"""),"닥스")</f>
        <v>닥스</v>
      </c>
      <c r="B5" s="23" t="b">
        <v>0</v>
      </c>
      <c r="C5" s="30">
        <f>IF(Z5="","",COUNTIF('건들지말것'!A:A,Z5))</f>
        <v>76</v>
      </c>
      <c r="D5" s="8">
        <f t="shared" si="1"/>
        <v>0.214084507</v>
      </c>
      <c r="E5" s="8" t="str">
        <f>IFERROR(VLOOKUP(TRIM(A5), '혈맹원 정보'!A:C, 3, FALSE), "")</f>
        <v>요정</v>
      </c>
      <c r="F5" s="23" t="b">
        <v>0</v>
      </c>
      <c r="X5" s="8" t="b">
        <f t="shared" si="2"/>
        <v>1</v>
      </c>
      <c r="Z5" s="33" t="str">
        <f t="array" ref="Z5">IF(A5="","",
IFERROR(
INDEX('혈맹원 정보'!E$2:E1000,
MATCH(A5, '혈맹원 정보'!A$2:A1000, 0)
),
""))</f>
        <v>312126990935130124</v>
      </c>
    </row>
    <row r="6">
      <c r="A6" s="29" t="str">
        <f>IFERROR(__xludf.DUMMYFUNCTION("""COMPUTED_VALUE"""),"당구장")</f>
        <v>당구장</v>
      </c>
      <c r="B6" s="23" t="b">
        <v>0</v>
      </c>
      <c r="C6" s="30">
        <f>IF(Z6="","",COUNTIF('건들지말것'!A:A,Z6))</f>
        <v>59</v>
      </c>
      <c r="D6" s="8">
        <f t="shared" si="1"/>
        <v>0.1661971831</v>
      </c>
      <c r="E6" s="8" t="str">
        <f>IFERROR(VLOOKUP(TRIM(A6), '혈맹원 정보'!A:C, 3, FALSE), "")</f>
        <v>요정</v>
      </c>
      <c r="F6" s="23" t="b">
        <v>0</v>
      </c>
      <c r="G6" s="36" t="s">
        <v>170</v>
      </c>
      <c r="X6" s="8" t="b">
        <f t="shared" si="2"/>
        <v>1</v>
      </c>
      <c r="Z6" s="33" t="str">
        <f t="array" ref="Z6">IF(A6="","",
IFERROR(
INDEX('혈맹원 정보'!E$2:E1000,
MATCH(A6, '혈맹원 정보'!A$2:A1000, 0)
),
""))</f>
        <v>1262879302110937170</v>
      </c>
    </row>
    <row r="7">
      <c r="A7" s="29" t="str">
        <f>IFERROR(__xludf.DUMMYFUNCTION("""COMPUTED_VALUE"""),"대곡주")</f>
        <v>대곡주</v>
      </c>
      <c r="B7" s="23" t="b">
        <v>0</v>
      </c>
      <c r="C7" s="30">
        <f>IF(Z7="","",COUNTIF('건들지말것'!A:A,Z7))</f>
        <v>158</v>
      </c>
      <c r="D7" s="8">
        <f t="shared" si="1"/>
        <v>0.4450704225</v>
      </c>
      <c r="E7" s="8" t="str">
        <f>IFERROR(VLOOKUP(TRIM(A7), '혈맹원 정보'!A:C, 3, FALSE), "")</f>
        <v>요정</v>
      </c>
      <c r="F7" s="23" t="b">
        <v>0</v>
      </c>
      <c r="X7" s="8" t="b">
        <f t="shared" si="2"/>
        <v>1</v>
      </c>
      <c r="Z7" s="33" t="str">
        <f t="array" ref="Z7">IF(A7="","",
IFERROR(
INDEX('혈맹원 정보'!E$2:E1000,
MATCH(A7, '혈맹원 정보'!A$2:A1000, 0)
),
""))</f>
        <v>1331168014845874209</v>
      </c>
    </row>
    <row r="8">
      <c r="A8" s="29" t="str">
        <f>IFERROR(__xludf.DUMMYFUNCTION("""COMPUTED_VALUE"""),"덱스")</f>
        <v>덱스</v>
      </c>
      <c r="B8" s="23" t="b">
        <v>0</v>
      </c>
      <c r="C8" s="30">
        <f>IF(Z8="","",COUNTIF('건들지말것'!A:A,Z8))</f>
        <v>38</v>
      </c>
      <c r="D8" s="8">
        <f t="shared" si="1"/>
        <v>0.1070422535</v>
      </c>
      <c r="E8" s="8" t="str">
        <f>IFERROR(VLOOKUP(TRIM(A8), '혈맹원 정보'!A:C, 3, FALSE), "")</f>
        <v>기사</v>
      </c>
      <c r="F8" s="23" t="b">
        <v>0</v>
      </c>
      <c r="G8" s="37" t="b">
        <v>0</v>
      </c>
      <c r="X8" s="8" t="b">
        <f t="shared" si="2"/>
        <v>1</v>
      </c>
      <c r="Z8" s="33" t="str">
        <f t="array" ref="Z8">IF(A8="","",
IFERROR(
INDEX('혈맹원 정보'!E$2:E1000,
MATCH(A8, '혈맹원 정보'!A$2:A1000, 0)
),
""))</f>
        <v>569894354504777749</v>
      </c>
    </row>
    <row r="9">
      <c r="A9" s="29" t="str">
        <f>IFERROR(__xludf.DUMMYFUNCTION("""COMPUTED_VALUE"""),"두끗")</f>
        <v>두끗</v>
      </c>
      <c r="B9" s="23" t="b">
        <v>0</v>
      </c>
      <c r="C9" s="30">
        <f>IF(Z9="","",COUNTIF('건들지말것'!A:A,Z9))</f>
        <v>100</v>
      </c>
      <c r="D9" s="8">
        <f t="shared" si="1"/>
        <v>0.2816901408</v>
      </c>
      <c r="E9" s="8" t="str">
        <f>IFERROR(VLOOKUP(TRIM(A9), '혈맹원 정보'!A:C, 3, FALSE), "")</f>
        <v>요정</v>
      </c>
      <c r="F9" s="23" t="b">
        <v>0</v>
      </c>
      <c r="X9" s="8" t="b">
        <f t="shared" si="2"/>
        <v>1</v>
      </c>
      <c r="Z9" s="33" t="str">
        <f t="array" ref="Z9">IF(A9="","",
IFERROR(
INDEX('혈맹원 정보'!E$2:E1000,
MATCH(A9, '혈맹원 정보'!A$2:A1000, 0)
),
""))</f>
        <v>388675531538956289</v>
      </c>
    </row>
    <row r="10">
      <c r="A10" s="29" t="str">
        <f>IFERROR(__xludf.DUMMYFUNCTION("""COMPUTED_VALUE"""),"두둥탁")</f>
        <v>두둥탁</v>
      </c>
      <c r="B10" s="23" t="b">
        <v>0</v>
      </c>
      <c r="C10" s="30">
        <f>IF(Z10="","",COUNTIF('건들지말것'!A:A,Z10))</f>
        <v>53</v>
      </c>
      <c r="D10" s="8">
        <f t="shared" si="1"/>
        <v>0.1492957746</v>
      </c>
      <c r="E10" s="8" t="str">
        <f>IFERROR(VLOOKUP(TRIM(A10), '혈맹원 정보'!A:C, 3, FALSE), "")</f>
        <v>마법사</v>
      </c>
      <c r="F10" s="23" t="b">
        <v>0</v>
      </c>
      <c r="G10" s="38" t="b">
        <v>0</v>
      </c>
      <c r="X10" s="8" t="b">
        <f t="shared" si="2"/>
        <v>1</v>
      </c>
      <c r="Z10" s="33" t="str">
        <f t="array" ref="Z10">IF(A10="","",
IFERROR(
INDEX('혈맹원 정보'!E$2:E1000,
MATCH(A10, '혈맹원 정보'!A$2:A1000, 0)
),
""))</f>
        <v>790465405164453908</v>
      </c>
    </row>
    <row r="11">
      <c r="A11" s="29" t="str">
        <f>IFERROR(__xludf.DUMMYFUNCTION("""COMPUTED_VALUE"""),"드레이크")</f>
        <v>드레이크</v>
      </c>
      <c r="B11" s="23" t="b">
        <v>0</v>
      </c>
      <c r="C11" s="30">
        <f>IF(Z11="","",COUNTIF('건들지말것'!A:A,Z11))</f>
        <v>14</v>
      </c>
      <c r="D11" s="8">
        <f t="shared" si="1"/>
        <v>0.03943661972</v>
      </c>
      <c r="E11" s="8" t="str">
        <f>IFERROR(VLOOKUP(TRIM(A11), '혈맹원 정보'!A:C, 3, FALSE), "")</f>
        <v>기사</v>
      </c>
      <c r="F11" s="23" t="b">
        <v>0</v>
      </c>
      <c r="X11" s="8" t="b">
        <f t="shared" si="2"/>
        <v>1</v>
      </c>
      <c r="Z11" s="33" t="str">
        <f t="array" ref="Z11">IF(A11="","",
IFERROR(
INDEX('혈맹원 정보'!E$2:E1000,
MATCH(A11, '혈맹원 정보'!A$2:A1000, 0)
),
""))</f>
        <v>711844803767435315</v>
      </c>
    </row>
    <row r="12">
      <c r="A12" s="29" t="str">
        <f>IFERROR(__xludf.DUMMYFUNCTION("""COMPUTED_VALUE"""),"드레이크1")</f>
        <v>드레이크1</v>
      </c>
      <c r="B12" s="23" t="b">
        <v>0</v>
      </c>
      <c r="C12" s="30">
        <f>IF(Z12="","",COUNTIF('건들지말것'!A:A,Z12))</f>
        <v>110</v>
      </c>
      <c r="D12" s="8">
        <f t="shared" si="1"/>
        <v>0.3098591549</v>
      </c>
      <c r="E12" s="8" t="str">
        <f>IFERROR(VLOOKUP(TRIM(A12), '혈맹원 정보'!A:C, 3, FALSE), "")</f>
        <v>기사</v>
      </c>
      <c r="F12" s="23" t="b">
        <v>0</v>
      </c>
      <c r="X12" s="8" t="b">
        <f t="shared" si="2"/>
        <v>1</v>
      </c>
      <c r="Z12" s="33" t="str">
        <f t="array" ref="Z12">IF(A12="","",
IFERROR(
INDEX('혈맹원 정보'!E$2:E1000,
MATCH(A12, '혈맹원 정보'!A$2:A1000, 0)
),
""))</f>
        <v>382752304962469890</v>
      </c>
    </row>
    <row r="13">
      <c r="A13" s="29" t="str">
        <f>IFERROR(__xludf.DUMMYFUNCTION("""COMPUTED_VALUE"""),"또가스")</f>
        <v>또가스</v>
      </c>
      <c r="B13" s="23" t="b">
        <v>0</v>
      </c>
      <c r="C13" s="30">
        <f>IF(Z13="","",COUNTIF('건들지말것'!A:A,Z13))</f>
        <v>58</v>
      </c>
      <c r="D13" s="8">
        <f t="shared" si="1"/>
        <v>0.1633802817</v>
      </c>
      <c r="E13" s="8" t="str">
        <f>IFERROR(VLOOKUP(TRIM(A13), '혈맹원 정보'!A:C, 3, FALSE), "")</f>
        <v>요정</v>
      </c>
      <c r="F13" s="23" t="b">
        <v>0</v>
      </c>
      <c r="X13" s="8" t="b">
        <f t="shared" si="2"/>
        <v>1</v>
      </c>
      <c r="Z13" s="33" t="str">
        <f t="array" ref="Z13">IF(A13="","",
IFERROR(
INDEX('혈맹원 정보'!E$2:E1000,
MATCH(A13, '혈맹원 정보'!A$2:A1000, 0)
),
""))</f>
        <v>426032303555477505</v>
      </c>
    </row>
    <row r="14">
      <c r="A14" s="29" t="str">
        <f>IFERROR(__xludf.DUMMYFUNCTION("""COMPUTED_VALUE"""),"레오나르도")</f>
        <v>레오나르도</v>
      </c>
      <c r="B14" s="23" t="b">
        <v>0</v>
      </c>
      <c r="C14" s="30">
        <f>IF(Z14="","",COUNTIF('건들지말것'!A:A,Z14))</f>
        <v>118</v>
      </c>
      <c r="D14" s="8">
        <f t="shared" si="1"/>
        <v>0.3323943662</v>
      </c>
      <c r="E14" s="8" t="str">
        <f>IFERROR(VLOOKUP(TRIM(A14), '혈맹원 정보'!A:C, 3, FALSE), "")</f>
        <v>요정</v>
      </c>
      <c r="F14" s="23" t="b">
        <v>0</v>
      </c>
      <c r="X14" s="8" t="b">
        <f t="shared" si="2"/>
        <v>1</v>
      </c>
      <c r="Z14" s="33" t="str">
        <f t="array" ref="Z14">IF(A14="","",
IFERROR(
INDEX('혈맹원 정보'!E$2:E1000,
MATCH(A14, '혈맹원 정보'!A$2:A1000, 0)
),
""))</f>
        <v>330757131504582658</v>
      </c>
    </row>
    <row r="15">
      <c r="A15" s="29" t="str">
        <f>IFERROR(__xludf.DUMMYFUNCTION("""COMPUTED_VALUE"""),"민창")</f>
        <v>민창</v>
      </c>
      <c r="B15" s="23" t="b">
        <v>0</v>
      </c>
      <c r="C15" s="30">
        <f>IF(Z15="","",COUNTIF('건들지말것'!A:A,Z15))</f>
        <v>80</v>
      </c>
      <c r="D15" s="8">
        <f t="shared" si="1"/>
        <v>0.2253521127</v>
      </c>
      <c r="E15" s="8" t="str">
        <f>IFERROR(VLOOKUP(TRIM(A15), '혈맹원 정보'!A:C, 3, FALSE), "")</f>
        <v>요정</v>
      </c>
      <c r="F15" s="23" t="b">
        <v>0</v>
      </c>
      <c r="X15" s="8" t="b">
        <f t="shared" si="2"/>
        <v>1</v>
      </c>
      <c r="Z15" s="33" t="str">
        <f t="array" ref="Z15">IF(A15="","",
IFERROR(
INDEX('혈맹원 정보'!E$2:E1000,
MATCH(A15, '혈맹원 정보'!A$2:A1000, 0)
),
""))</f>
        <v>561208372171505683</v>
      </c>
    </row>
    <row r="16">
      <c r="A16" s="29" t="str">
        <f>IFERROR(__xludf.DUMMYFUNCTION("""COMPUTED_VALUE"""),"밀떡")</f>
        <v>밀떡</v>
      </c>
      <c r="B16" s="23" t="b">
        <v>0</v>
      </c>
      <c r="C16" s="30">
        <f>IF(Z16="","",COUNTIF('건들지말것'!A:A,Z16))</f>
        <v>98</v>
      </c>
      <c r="D16" s="8">
        <f t="shared" si="1"/>
        <v>0.276056338</v>
      </c>
      <c r="E16" s="8" t="str">
        <f>IFERROR(VLOOKUP(TRIM(A16), '혈맹원 정보'!A:C, 3, FALSE), "")</f>
        <v>요정</v>
      </c>
      <c r="F16" s="23" t="b">
        <v>0</v>
      </c>
      <c r="X16" s="8" t="b">
        <f t="shared" si="2"/>
        <v>1</v>
      </c>
      <c r="Z16" s="33" t="str">
        <f t="array" ref="Z16">IF(A16="","",
IFERROR(
INDEX('혈맹원 정보'!E$2:E1000,
MATCH(A16, '혈맹원 정보'!A$2:A1000, 0)
),
""))</f>
        <v>1483830618507841587</v>
      </c>
    </row>
    <row r="17">
      <c r="A17" s="29" t="str">
        <f>IFERROR(__xludf.DUMMYFUNCTION("""COMPUTED_VALUE"""),"뱀")</f>
        <v>뱀</v>
      </c>
      <c r="B17" s="23" t="b">
        <v>0</v>
      </c>
      <c r="C17" s="30">
        <f>IF(Z17="","",COUNTIF('건들지말것'!A:A,Z17))</f>
        <v>17</v>
      </c>
      <c r="D17" s="8">
        <f t="shared" si="1"/>
        <v>0.04788732394</v>
      </c>
      <c r="E17" s="8" t="str">
        <f>IFERROR(VLOOKUP(TRIM(A17), '혈맹원 정보'!A:C, 3, FALSE), "")</f>
        <v>마법사</v>
      </c>
      <c r="F17" s="23" t="b">
        <v>0</v>
      </c>
      <c r="X17" s="8" t="b">
        <f t="shared" si="2"/>
        <v>1</v>
      </c>
      <c r="Z17" s="33" t="str">
        <f t="array" ref="Z17">IF(A17="","",
IFERROR(
INDEX('혈맹원 정보'!E$2:E1000,
MATCH(A17, '혈맹원 정보'!A$2:A1000, 0)
),
""))</f>
        <v>442636969193766924</v>
      </c>
    </row>
    <row r="18">
      <c r="A18" s="29" t="str">
        <f>IFERROR(__xludf.DUMMYFUNCTION("""COMPUTED_VALUE"""),"복식")</f>
        <v>복식</v>
      </c>
      <c r="B18" s="23" t="b">
        <v>0</v>
      </c>
      <c r="C18" s="30">
        <f>IF(Z18="","",COUNTIF('건들지말것'!A:A,Z18))</f>
        <v>1</v>
      </c>
      <c r="D18" s="8">
        <f t="shared" si="1"/>
        <v>0.002816901408</v>
      </c>
      <c r="E18" s="8" t="str">
        <f>IFERROR(VLOOKUP(TRIM(A18), '혈맹원 정보'!A:C, 3, FALSE), "")</f>
        <v>요정</v>
      </c>
      <c r="F18" s="23" t="b">
        <v>0</v>
      </c>
      <c r="X18" s="8" t="b">
        <f t="shared" si="2"/>
        <v>1</v>
      </c>
      <c r="Z18" s="33" t="str">
        <f t="array" ref="Z18">IF(A18="","",
IFERROR(
INDEX('혈맹원 정보'!E$2:E1000,
MATCH(A18, '혈맹원 정보'!A$2:A1000, 0)
),
""))</f>
        <v>1108135082461511814</v>
      </c>
    </row>
    <row r="19">
      <c r="A19" s="29" t="str">
        <f>IFERROR(__xludf.DUMMYFUNCTION("""COMPUTED_VALUE"""),"비에고")</f>
        <v>비에고</v>
      </c>
      <c r="B19" s="23" t="b">
        <v>0</v>
      </c>
      <c r="C19" s="30">
        <f>IF(Z19="","",COUNTIF('건들지말것'!A:A,Z19))</f>
        <v>42</v>
      </c>
      <c r="D19" s="8">
        <f t="shared" si="1"/>
        <v>0.1183098592</v>
      </c>
      <c r="E19" s="8" t="str">
        <f>IFERROR(VLOOKUP(TRIM(A19), '혈맹원 정보'!A:C, 3, FALSE), "")</f>
        <v>기사</v>
      </c>
      <c r="F19" s="23" t="b">
        <v>0</v>
      </c>
      <c r="X19" s="8" t="b">
        <f t="shared" si="2"/>
        <v>1</v>
      </c>
      <c r="Z19" s="33" t="str">
        <f t="array" ref="Z19">IF(A19="","",
IFERROR(
INDEX('혈맹원 정보'!E$2:E1000,
MATCH(A19, '혈맹원 정보'!A$2:A1000, 0)
),
""))</f>
        <v>939455236739837982</v>
      </c>
    </row>
    <row r="20">
      <c r="A20" s="29" t="str">
        <f>IFERROR(__xludf.DUMMYFUNCTION("""COMPUTED_VALUE"""),"새롬")</f>
        <v>새롬</v>
      </c>
      <c r="B20" s="23" t="b">
        <v>0</v>
      </c>
      <c r="C20" s="30">
        <f>IF(Z20="","",COUNTIF('건들지말것'!A:A,Z20))</f>
        <v>26</v>
      </c>
      <c r="D20" s="8">
        <f t="shared" si="1"/>
        <v>0.07323943662</v>
      </c>
      <c r="E20" s="8" t="str">
        <f>IFERROR(VLOOKUP(TRIM(A20), '혈맹원 정보'!A:C, 3, FALSE), "")</f>
        <v>요정</v>
      </c>
      <c r="F20" s="23" t="b">
        <v>0</v>
      </c>
      <c r="X20" s="8" t="b">
        <f t="shared" si="2"/>
        <v>1</v>
      </c>
      <c r="Z20" s="33" t="str">
        <f t="array" ref="Z20">IF(A20="","",
IFERROR(
INDEX('혈맹원 정보'!E$2:E1000,
MATCH(A20, '혈맹원 정보'!A$2:A1000, 0)
),
""))</f>
        <v>914856849310900234</v>
      </c>
    </row>
    <row r="21">
      <c r="A21" s="29" t="str">
        <f>IFERROR(__xludf.DUMMYFUNCTION("""COMPUTED_VALUE"""),"세끗")</f>
        <v>세끗</v>
      </c>
      <c r="B21" s="23" t="b">
        <v>0</v>
      </c>
      <c r="C21" s="30">
        <f>IF(Z21="","",COUNTIF('건들지말것'!A:A,Z21))</f>
        <v>83</v>
      </c>
      <c r="D21" s="8">
        <f t="shared" si="1"/>
        <v>0.2338028169</v>
      </c>
      <c r="E21" s="8" t="str">
        <f>IFERROR(VLOOKUP(TRIM(A21), '혈맹원 정보'!A:C, 3, FALSE), "")</f>
        <v>요정</v>
      </c>
      <c r="F21" s="23" t="b">
        <v>0</v>
      </c>
      <c r="X21" s="8" t="b">
        <f t="shared" si="2"/>
        <v>1</v>
      </c>
      <c r="Z21" s="33" t="str">
        <f t="array" ref="Z21">IF(A21="","",
IFERROR(
INDEX('혈맹원 정보'!E$2:E1000,
MATCH(A21, '혈맹원 정보'!A$2:A1000, 0)
),
""))</f>
        <v>1490259813962350592</v>
      </c>
    </row>
    <row r="22">
      <c r="A22" s="29" t="str">
        <f>IFERROR(__xludf.DUMMYFUNCTION("""COMPUTED_VALUE"""),"세이버")</f>
        <v>세이버</v>
      </c>
      <c r="B22" s="23" t="b">
        <v>0</v>
      </c>
      <c r="C22" s="30">
        <f>IF(Z22="","",COUNTIF('건들지말것'!A:A,Z22))</f>
        <v>117</v>
      </c>
      <c r="D22" s="8">
        <f t="shared" si="1"/>
        <v>0.3295774648</v>
      </c>
      <c r="E22" s="8" t="str">
        <f>IFERROR(VLOOKUP(TRIM(A22), '혈맹원 정보'!A:C, 3, FALSE), "")</f>
        <v>요정</v>
      </c>
      <c r="F22" s="23" t="b">
        <v>0</v>
      </c>
      <c r="X22" s="8" t="b">
        <f t="shared" si="2"/>
        <v>1</v>
      </c>
      <c r="Z22" s="33" t="str">
        <f t="array" ref="Z22">IF(A22="","",
IFERROR(
INDEX('혈맹원 정보'!E$2:E1000,
MATCH(A22, '혈맹원 정보'!A$2:A1000, 0)
),
""))</f>
        <v>1278304254955884730</v>
      </c>
    </row>
    <row r="23">
      <c r="A23" s="29" t="str">
        <f>IFERROR(__xludf.DUMMYFUNCTION("""COMPUTED_VALUE"""),"스타")</f>
        <v>스타</v>
      </c>
      <c r="B23" s="23" t="b">
        <v>0</v>
      </c>
      <c r="C23" s="30">
        <f>IF(Z23="","",COUNTIF('건들지말것'!A:A,Z23))</f>
        <v>0</v>
      </c>
      <c r="D23" s="8">
        <f t="shared" si="1"/>
        <v>0</v>
      </c>
      <c r="E23" s="8" t="str">
        <f>IFERROR(VLOOKUP(TRIM(A23), '혈맹원 정보'!A:C, 3, FALSE), "")</f>
        <v>마법사</v>
      </c>
      <c r="F23" s="23" t="b">
        <v>0</v>
      </c>
      <c r="X23" s="8" t="b">
        <f t="shared" si="2"/>
        <v>1</v>
      </c>
      <c r="Z23" s="33" t="str">
        <f t="array" ref="Z23">IF(A23="","",
IFERROR(
INDEX('혈맹원 정보'!E$2:E1000,
MATCH(A23, '혈맹원 정보'!A$2:A1000, 0)
),
""))</f>
        <v>397696170346151946</v>
      </c>
    </row>
    <row r="24">
      <c r="A24" s="29" t="str">
        <f>IFERROR(__xludf.DUMMYFUNCTION("""COMPUTED_VALUE"""),"스타1")</f>
        <v>스타1</v>
      </c>
      <c r="B24" s="23" t="b">
        <v>0</v>
      </c>
      <c r="C24" s="30">
        <f>IF(Z24="","",COUNTIF('건들지말것'!A:A,Z24))</f>
        <v>147</v>
      </c>
      <c r="D24" s="8">
        <f t="shared" si="1"/>
        <v>0.414084507</v>
      </c>
      <c r="E24" s="8" t="str">
        <f>IFERROR(VLOOKUP(TRIM(A24), '혈맹원 정보'!A:C, 3, FALSE), "")</f>
        <v>마법사</v>
      </c>
      <c r="F24" s="23" t="b">
        <v>0</v>
      </c>
      <c r="X24" s="8" t="b">
        <f t="shared" ref="X24:X26" si="3">ISTEXT(Z25)</f>
        <v>1</v>
      </c>
      <c r="Z24" s="33" t="str">
        <f t="array" ref="Z24">IF(A24="","",
IFERROR(
INDEX('혈맹원 정보'!E$2:E1000,
MATCH(A24, '혈맹원 정보'!A$2:A1000, 0)
),
""))</f>
        <v>612606740541997066</v>
      </c>
    </row>
    <row r="25">
      <c r="A25" s="29" t="str">
        <f>IFERROR(__xludf.DUMMYFUNCTION("""COMPUTED_VALUE"""),"스팸라이트")</f>
        <v>스팸라이트</v>
      </c>
      <c r="B25" s="23" t="b">
        <v>0</v>
      </c>
      <c r="C25" s="30">
        <f>IF(Z25="","",COUNTIF('건들지말것'!A:A,Z25))</f>
        <v>0</v>
      </c>
      <c r="D25" s="8">
        <f t="shared" si="1"/>
        <v>0</v>
      </c>
      <c r="E25" s="8" t="str">
        <f>IFERROR(VLOOKUP(TRIM(A25), '혈맹원 정보'!A:C, 3, FALSE), "")</f>
        <v>요정</v>
      </c>
      <c r="F25" s="23" t="b">
        <v>0</v>
      </c>
      <c r="X25" s="8" t="b">
        <f t="shared" si="3"/>
        <v>1</v>
      </c>
      <c r="Z25" s="33" t="str">
        <f t="array" ref="Z25">IF(A25="","",
IFERROR(
INDEX('혈맹원 정보'!E$2:E1000,
MATCH(A25, '혈맹원 정보'!A$2:A1000, 0)
),
""))</f>
        <v>1489588682376613888</v>
      </c>
    </row>
    <row r="26">
      <c r="A26" s="29" t="str">
        <f>IFERROR(__xludf.DUMMYFUNCTION("""COMPUTED_VALUE"""),"시드랏슈")</f>
        <v>시드랏슈</v>
      </c>
      <c r="B26" s="23" t="b">
        <v>0</v>
      </c>
      <c r="C26" s="30">
        <f>IF(Z26="","",COUNTIF('건들지말것'!A:A,Z26))</f>
        <v>92</v>
      </c>
      <c r="D26" s="8">
        <f t="shared" si="1"/>
        <v>0.2591549296</v>
      </c>
      <c r="E26" s="8" t="str">
        <f>IFERROR(VLOOKUP(TRIM(A26), '혈맹원 정보'!A:C, 3, FALSE), "")</f>
        <v>마법사</v>
      </c>
      <c r="F26" s="23" t="b">
        <v>0</v>
      </c>
      <c r="X26" s="8" t="b">
        <f t="shared" si="3"/>
        <v>1</v>
      </c>
      <c r="Z26" s="33" t="str">
        <f t="array" ref="Z26">IF(A26="","",
IFERROR(
INDEX('혈맹원 정보'!E$2:E1000,
MATCH(A26, '혈맹원 정보'!A$2:A1000, 0)
),
""))</f>
        <v>583263839856885770</v>
      </c>
    </row>
    <row r="27">
      <c r="A27" s="29" t="str">
        <f>IFERROR(__xludf.DUMMYFUNCTION("""COMPUTED_VALUE"""),"시진핑")</f>
        <v>시진핑</v>
      </c>
      <c r="B27" s="23" t="b">
        <v>0</v>
      </c>
      <c r="C27" s="30">
        <f>IF(Z27="","",COUNTIF('건들지말것'!A:A,Z27))</f>
        <v>0</v>
      </c>
      <c r="D27" s="8">
        <f t="shared" si="1"/>
        <v>0</v>
      </c>
      <c r="E27" s="8" t="str">
        <f>IFERROR(VLOOKUP(TRIM(A27), '혈맹원 정보'!A:C, 3, FALSE), "")</f>
        <v>마법사</v>
      </c>
      <c r="F27" s="23" t="b">
        <v>0</v>
      </c>
      <c r="X27" s="8" t="b">
        <f t="shared" ref="X27:X65" si="4">ISTEXT(Z27)</f>
        <v>1</v>
      </c>
      <c r="Z27" s="33" t="str">
        <f t="array" ref="Z27">IF(A27="","",
IFERROR(
INDEX('혈맹원 정보'!E$2:E1000,
MATCH(A27, '혈맹원 정보'!A$2:A1000, 0)
),
""))</f>
        <v>1343575157842640957</v>
      </c>
    </row>
    <row r="28">
      <c r="A28" s="29" t="str">
        <f>IFERROR(__xludf.DUMMYFUNCTION("""COMPUTED_VALUE"""),"신문")</f>
        <v>신문</v>
      </c>
      <c r="B28" s="23" t="b">
        <v>0</v>
      </c>
      <c r="C28" s="30">
        <f>IF(Z28="","",COUNTIF('건들지말것'!A:A,Z28))</f>
        <v>144</v>
      </c>
      <c r="D28" s="8">
        <f t="shared" si="1"/>
        <v>0.4056338028</v>
      </c>
      <c r="E28" s="8" t="str">
        <f>IFERROR(VLOOKUP(TRIM(A28), '혈맹원 정보'!A:C, 3, FALSE), "")</f>
        <v>요정</v>
      </c>
      <c r="F28" s="23" t="b">
        <v>0</v>
      </c>
      <c r="X28" s="8" t="b">
        <f t="shared" si="4"/>
        <v>1</v>
      </c>
      <c r="Z28" s="33" t="str">
        <f t="array" ref="Z28">IF(A28="","",
IFERROR(
INDEX('혈맹원 정보'!E$2:E1000,
MATCH(A28, '혈맹원 정보'!A$2:A1000, 0)
),
""))</f>
        <v>661750424591663134</v>
      </c>
    </row>
    <row r="29">
      <c r="A29" s="29" t="str">
        <f>IFERROR(__xludf.DUMMYFUNCTION("""COMPUTED_VALUE"""),"쌀떡")</f>
        <v>쌀떡</v>
      </c>
      <c r="B29" s="23" t="b">
        <v>0</v>
      </c>
      <c r="C29" s="30">
        <f>IF(Z29="","",COUNTIF('건들지말것'!A:A,Z29))</f>
        <v>30</v>
      </c>
      <c r="D29" s="8">
        <f t="shared" si="1"/>
        <v>0.08450704225</v>
      </c>
      <c r="E29" s="8" t="str">
        <f>IFERROR(VLOOKUP(TRIM(A29), '혈맹원 정보'!A:C, 3, FALSE), "")</f>
        <v>요정</v>
      </c>
      <c r="F29" s="23" t="b">
        <v>0</v>
      </c>
      <c r="X29" s="8" t="b">
        <f t="shared" si="4"/>
        <v>1</v>
      </c>
      <c r="Z29" s="33" t="str">
        <f t="array" ref="Z29">IF(A29="","",
IFERROR(
INDEX('혈맹원 정보'!E$2:E1000,
MATCH(A29, '혈맹원 정보'!A$2:A1000, 0)
),
""))</f>
        <v>1487057737832464544</v>
      </c>
    </row>
    <row r="30">
      <c r="A30" s="29" t="str">
        <f>IFERROR(__xludf.DUMMYFUNCTION("""COMPUTED_VALUE"""),"쌀떡")</f>
        <v>쌀떡</v>
      </c>
      <c r="B30" s="23" t="b">
        <v>0</v>
      </c>
      <c r="C30" s="30">
        <f>IF(Z30="","",COUNTIF('건들지말것'!A:A,Z30))</f>
        <v>30</v>
      </c>
      <c r="D30" s="8">
        <f t="shared" si="1"/>
        <v>0.08450704225</v>
      </c>
      <c r="E30" s="8" t="str">
        <f>IFERROR(VLOOKUP(TRIM(A30), '혈맹원 정보'!A:C, 3, FALSE), "")</f>
        <v>요정</v>
      </c>
      <c r="F30" s="23" t="b">
        <v>0</v>
      </c>
      <c r="X30" s="8" t="b">
        <f t="shared" si="4"/>
        <v>1</v>
      </c>
      <c r="Z30" s="33" t="str">
        <f t="array" ref="Z30">IF(A30="","",
IFERROR(
INDEX('혈맹원 정보'!E$2:E1000,
MATCH(A30, '혈맹원 정보'!A$2:A1000, 0)
),
""))</f>
        <v>1487057737832464544</v>
      </c>
    </row>
    <row r="31">
      <c r="A31" s="29" t="str">
        <f>IFERROR(__xludf.DUMMYFUNCTION("""COMPUTED_VALUE"""),"썽이")</f>
        <v>썽이</v>
      </c>
      <c r="B31" s="23" t="b">
        <v>0</v>
      </c>
      <c r="C31" s="30">
        <f>IF(Z31="","",COUNTIF('건들지말것'!A:A,Z31))</f>
        <v>141</v>
      </c>
      <c r="D31" s="8">
        <f t="shared" si="1"/>
        <v>0.3971830986</v>
      </c>
      <c r="E31" s="8" t="str">
        <f>IFERROR(VLOOKUP(TRIM(A31), '혈맹원 정보'!A:C, 3, FALSE), "")</f>
        <v>요정</v>
      </c>
      <c r="F31" s="23" t="b">
        <v>0</v>
      </c>
      <c r="X31" s="8" t="b">
        <f t="shared" si="4"/>
        <v>1</v>
      </c>
      <c r="Z31" s="33" t="str">
        <f t="array" ref="Z31">IF(A31="","",
IFERROR(
INDEX('혈맹원 정보'!E$2:E1000,
MATCH(A31, '혈맹원 정보'!A$2:A1000, 0)
),
""))</f>
        <v>576257871612870656</v>
      </c>
    </row>
    <row r="32">
      <c r="A32" s="29" t="str">
        <f>IFERROR(__xludf.DUMMYFUNCTION("""COMPUTED_VALUE"""),"쑥떡")</f>
        <v>쑥떡</v>
      </c>
      <c r="B32" s="23" t="b">
        <v>0</v>
      </c>
      <c r="C32" s="30">
        <f>IF(Z32="","",COUNTIF('건들지말것'!A:A,Z32))</f>
        <v>1</v>
      </c>
      <c r="D32" s="8">
        <f t="shared" si="1"/>
        <v>0.002816901408</v>
      </c>
      <c r="E32" s="8" t="str">
        <f>IFERROR(VLOOKUP(TRIM(A32), '혈맹원 정보'!A:C, 3, FALSE), "")</f>
        <v>요정</v>
      </c>
      <c r="F32" s="23" t="b">
        <v>0</v>
      </c>
      <c r="X32" s="8" t="b">
        <f t="shared" si="4"/>
        <v>1</v>
      </c>
      <c r="Z32" s="33" t="str">
        <f t="array" ref="Z32">IF(A32="","",
IFERROR(
INDEX('혈맹원 정보'!E$2:E1000,
MATCH(A32, '혈맹원 정보'!A$2:A1000, 0)
),
""))</f>
        <v>373116772166926337</v>
      </c>
    </row>
    <row r="33">
      <c r="A33" s="29" t="str">
        <f>IFERROR(__xludf.DUMMYFUNCTION("""COMPUTED_VALUE"""),"아스테어")</f>
        <v>아스테어</v>
      </c>
      <c r="B33" s="23" t="b">
        <v>0</v>
      </c>
      <c r="C33" s="30">
        <f>IF(Z33="","",COUNTIF('건들지말것'!A:A,Z33))</f>
        <v>0</v>
      </c>
      <c r="D33" s="8">
        <f t="shared" si="1"/>
        <v>0</v>
      </c>
      <c r="E33" s="8" t="str">
        <f>IFERROR(VLOOKUP(TRIM(A33), '혈맹원 정보'!A:C, 3, FALSE), "")</f>
        <v>기사</v>
      </c>
      <c r="F33" s="23" t="b">
        <v>0</v>
      </c>
      <c r="X33" s="8" t="b">
        <f t="shared" si="4"/>
        <v>1</v>
      </c>
      <c r="Z33" s="33" t="str">
        <f t="array" ref="Z33">IF(A33="","",
IFERROR(
INDEX('혈맹원 정보'!E$2:E1000,
MATCH(A33, '혈맹원 정보'!A$2:A1000, 0)
),
""))</f>
        <v>538344294579437598</v>
      </c>
    </row>
    <row r="34">
      <c r="A34" s="29" t="str">
        <f>IFERROR(__xludf.DUMMYFUNCTION("""COMPUTED_VALUE"""),"악당")</f>
        <v>악당</v>
      </c>
      <c r="B34" s="23" t="b">
        <v>0</v>
      </c>
      <c r="C34" s="30">
        <f>IF(Z34="","",COUNTIF('건들지말것'!A:A,Z34))</f>
        <v>93</v>
      </c>
      <c r="D34" s="8">
        <f t="shared" si="1"/>
        <v>0.261971831</v>
      </c>
      <c r="E34" s="8" t="str">
        <f>IFERROR(VLOOKUP(TRIM(A34), '혈맹원 정보'!A:C, 3, FALSE), "")</f>
        <v>요정</v>
      </c>
      <c r="F34" s="23" t="b">
        <v>0</v>
      </c>
      <c r="X34" s="8" t="b">
        <f t="shared" si="4"/>
        <v>1</v>
      </c>
      <c r="Z34" s="33" t="str">
        <f t="array" ref="Z34">IF(A34="","",
IFERROR(
INDEX('혈맹원 정보'!E$2:E1000,
MATCH(A34, '혈맹원 정보'!A$2:A1000, 0)
),
""))</f>
        <v>366506563957030913</v>
      </c>
    </row>
    <row r="35">
      <c r="A35" s="29" t="str">
        <f>IFERROR(__xludf.DUMMYFUNCTION("""COMPUTED_VALUE"""),"악당1")</f>
        <v>악당1</v>
      </c>
      <c r="B35" s="23" t="b">
        <v>0</v>
      </c>
      <c r="C35" s="30">
        <f>IF(Z35="","",COUNTIF('건들지말것'!A:A,Z35))</f>
        <v>93</v>
      </c>
      <c r="D35" s="8">
        <f t="shared" si="1"/>
        <v>0.261971831</v>
      </c>
      <c r="E35" s="8" t="str">
        <f>IFERROR(VLOOKUP(TRIM(A35), '혈맹원 정보'!A:C, 3, FALSE), "")</f>
        <v>요정</v>
      </c>
      <c r="F35" s="23" t="b">
        <v>0</v>
      </c>
      <c r="X35" s="8" t="b">
        <f t="shared" si="4"/>
        <v>1</v>
      </c>
      <c r="Z35" s="33" t="str">
        <f t="array" ref="Z35">IF(A35="","",
IFERROR(
INDEX('혈맹원 정보'!E$2:E1000,
MATCH(A35, '혈맹원 정보'!A$2:A1000, 0)
),
""))</f>
        <v>366506563957030913</v>
      </c>
    </row>
    <row r="36">
      <c r="A36" s="29" t="str">
        <f>IFERROR(__xludf.DUMMYFUNCTION("""COMPUTED_VALUE"""),"어쩐지")</f>
        <v>어쩐지</v>
      </c>
      <c r="B36" s="23" t="b">
        <v>0</v>
      </c>
      <c r="C36" s="30">
        <f>IF(Z36="","",COUNTIF('건들지말것'!A:A,Z36))</f>
        <v>15</v>
      </c>
      <c r="D36" s="8">
        <f t="shared" si="1"/>
        <v>0.04225352113</v>
      </c>
      <c r="E36" s="8" t="str">
        <f>IFERROR(VLOOKUP(TRIM(A36), '혈맹원 정보'!A:C, 3, FALSE), "")</f>
        <v>마법사</v>
      </c>
      <c r="F36" s="23" t="b">
        <v>0</v>
      </c>
      <c r="X36" s="8" t="b">
        <f t="shared" si="4"/>
        <v>1</v>
      </c>
      <c r="Z36" s="33" t="str">
        <f t="array" ref="Z36">IF(A36="","",
IFERROR(
INDEX('혈맹원 정보'!E$2:E1000,
MATCH(A36, '혈맹원 정보'!A$2:A1000, 0)
),
""))</f>
        <v>721281407288213544</v>
      </c>
    </row>
    <row r="37">
      <c r="A37" s="29" t="str">
        <f>IFERROR(__xludf.DUMMYFUNCTION("""COMPUTED_VALUE"""),"얼음여왕")</f>
        <v>얼음여왕</v>
      </c>
      <c r="B37" s="23" t="b">
        <v>0</v>
      </c>
      <c r="C37" s="30">
        <f>IF(Z37="","",COUNTIF('건들지말것'!A:A,Z37))</f>
        <v>41</v>
      </c>
      <c r="D37" s="8">
        <f t="shared" si="1"/>
        <v>0.1154929577</v>
      </c>
      <c r="E37" s="8" t="str">
        <f>IFERROR(VLOOKUP(TRIM(A37), '혈맹원 정보'!A:C, 3, FALSE), "")</f>
        <v>요정</v>
      </c>
      <c r="F37" s="23" t="b">
        <v>0</v>
      </c>
      <c r="X37" s="8" t="b">
        <f t="shared" si="4"/>
        <v>1</v>
      </c>
      <c r="Z37" s="33" t="str">
        <f t="array" ref="Z37">IF(A37="","",
IFERROR(
INDEX('혈맹원 정보'!E$2:E1000,
MATCH(A37, '혈맹원 정보'!A$2:A1000, 0)
),
""))</f>
        <v>865842387347046440</v>
      </c>
    </row>
    <row r="38">
      <c r="A38" s="29" t="str">
        <f>IFERROR(__xludf.DUMMYFUNCTION("""COMPUTED_VALUE"""),"에바")</f>
        <v>에바</v>
      </c>
      <c r="B38" s="23" t="b">
        <v>0</v>
      </c>
      <c r="C38" s="30">
        <f>IF(Z38="","",COUNTIF('건들지말것'!A:A,Z38))</f>
        <v>0</v>
      </c>
      <c r="D38" s="8">
        <f t="shared" si="1"/>
        <v>0</v>
      </c>
      <c r="E38" s="8" t="str">
        <f>IFERROR(VLOOKUP(TRIM(A38), '혈맹원 정보'!A:C, 3, FALSE), "")</f>
        <v>마법사</v>
      </c>
      <c r="F38" s="23" t="b">
        <v>0</v>
      </c>
      <c r="X38" s="8" t="b">
        <f t="shared" si="4"/>
        <v>1</v>
      </c>
      <c r="Z38" s="33" t="str">
        <f t="array" ref="Z38">IF(A38="","",
IFERROR(
INDEX('혈맹원 정보'!E$2:E1000,
MATCH(A38, '혈맹원 정보'!A$2:A1000, 0)
),
""))</f>
        <v>1353407800679596115</v>
      </c>
    </row>
    <row r="39">
      <c r="A39" s="29" t="str">
        <f>IFERROR(__xludf.DUMMYFUNCTION("""COMPUTED_VALUE"""),"역도")</f>
        <v>역도</v>
      </c>
      <c r="B39" s="23" t="b">
        <v>0</v>
      </c>
      <c r="C39" s="30">
        <f>IF(Z39="","",COUNTIF('건들지말것'!A:A,Z39))</f>
        <v>0</v>
      </c>
      <c r="D39" s="8">
        <f t="shared" si="1"/>
        <v>0</v>
      </c>
      <c r="E39" s="8" t="str">
        <f>IFERROR(VLOOKUP(TRIM(A39), '혈맹원 정보'!A:C, 3, FALSE), "")</f>
        <v>기사</v>
      </c>
      <c r="F39" s="23" t="b">
        <v>0</v>
      </c>
      <c r="X39" s="8" t="b">
        <f t="shared" si="4"/>
        <v>1</v>
      </c>
      <c r="Z39" s="33" t="str">
        <f t="array" ref="Z39">IF(A39="","",
IFERROR(
INDEX('혈맹원 정보'!E$2:E1000,
MATCH(A39, '혈맹원 정보'!A$2:A1000, 0)
),
""))</f>
        <v>346930383591571457</v>
      </c>
    </row>
    <row r="40">
      <c r="A40" s="29" t="str">
        <f>IFERROR(__xludf.DUMMYFUNCTION("""COMPUTED_VALUE"""),"요요미")</f>
        <v>요요미</v>
      </c>
      <c r="B40" s="23" t="b">
        <v>0</v>
      </c>
      <c r="C40" s="30">
        <f>IF(Z40="","",COUNTIF('건들지말것'!A:A,Z40))</f>
        <v>0</v>
      </c>
      <c r="D40" s="8">
        <f t="shared" si="1"/>
        <v>0</v>
      </c>
      <c r="E40" s="8" t="str">
        <f>IFERROR(VLOOKUP(TRIM(A40), '혈맹원 정보'!A:C, 3, FALSE), "")</f>
        <v>요정</v>
      </c>
      <c r="F40" s="23" t="b">
        <v>0</v>
      </c>
      <c r="X40" s="8" t="b">
        <f t="shared" si="4"/>
        <v>1</v>
      </c>
      <c r="Z40" s="33" t="str">
        <f t="array" ref="Z40">IF(A40="","",
IFERROR(
INDEX('혈맹원 정보'!E$2:E1000,
MATCH(A40, '혈맹원 정보'!A$2:A1000, 0)
),
""))</f>
        <v>553214590926848000</v>
      </c>
    </row>
    <row r="41">
      <c r="A41" s="29" t="str">
        <f>IFERROR(__xludf.DUMMYFUNCTION("""COMPUTED_VALUE"""),"유니세프")</f>
        <v>유니세프</v>
      </c>
      <c r="B41" s="23" t="b">
        <v>0</v>
      </c>
      <c r="C41" s="30">
        <f>IF(Z41="","",COUNTIF('건들지말것'!A:A,Z41))</f>
        <v>94</v>
      </c>
      <c r="D41" s="8">
        <f t="shared" si="1"/>
        <v>0.2647887324</v>
      </c>
      <c r="E41" s="8" t="str">
        <f>IFERROR(VLOOKUP(TRIM(A41), '혈맹원 정보'!A:C, 3, FALSE), "")</f>
        <v>마법사</v>
      </c>
      <c r="F41" s="23" t="b">
        <v>0</v>
      </c>
      <c r="X41" s="8" t="b">
        <f t="shared" si="4"/>
        <v>1</v>
      </c>
      <c r="Z41" s="33" t="str">
        <f t="array" ref="Z41">IF(A41="","",
IFERROR(
INDEX('혈맹원 정보'!E$2:E1000,
MATCH(A41, '혈맹원 정보'!A$2:A1000, 0)
),
""))</f>
        <v>986275047322816572</v>
      </c>
    </row>
    <row r="42">
      <c r="A42" s="29" t="str">
        <f>IFERROR(__xludf.DUMMYFUNCTION("""COMPUTED_VALUE"""),"육떡")</f>
        <v>육떡</v>
      </c>
      <c r="B42" s="23" t="b">
        <v>0</v>
      </c>
      <c r="C42" s="30">
        <f>IF(Z42="","",COUNTIF('건들지말것'!A:A,Z42))</f>
        <v>0</v>
      </c>
      <c r="D42" s="8">
        <f t="shared" si="1"/>
        <v>0</v>
      </c>
      <c r="E42" s="8" t="str">
        <f>IFERROR(VLOOKUP(TRIM(A42), '혈맹원 정보'!A:C, 3, FALSE), "")</f>
        <v>요정</v>
      </c>
      <c r="F42" s="23" t="b">
        <v>0</v>
      </c>
      <c r="X42" s="8" t="b">
        <f t="shared" si="4"/>
        <v>1</v>
      </c>
      <c r="Z42" s="33" t="str">
        <f t="array" ref="Z42">IF(A42="","",
IFERROR(
INDEX('혈맹원 정보'!E$2:E1000,
MATCH(A42, '혈맹원 정보'!A$2:A1000, 0)
),
""))</f>
        <v>335064580977852417</v>
      </c>
    </row>
    <row r="43">
      <c r="A43" s="29" t="str">
        <f>IFERROR(__xludf.DUMMYFUNCTION("""COMPUTED_VALUE"""),"윤짱")</f>
        <v>윤짱</v>
      </c>
      <c r="B43" s="23" t="b">
        <v>0</v>
      </c>
      <c r="C43" s="30">
        <f>IF(Z43="","",COUNTIF('건들지말것'!A:A,Z43))</f>
        <v>15</v>
      </c>
      <c r="D43" s="8">
        <f t="shared" si="1"/>
        <v>0.04225352113</v>
      </c>
      <c r="E43" s="8" t="str">
        <f>IFERROR(VLOOKUP(TRIM(A43), '혈맹원 정보'!A:C, 3, FALSE), "")</f>
        <v>요정</v>
      </c>
      <c r="F43" s="23" t="b">
        <v>0</v>
      </c>
      <c r="X43" s="8" t="b">
        <f t="shared" si="4"/>
        <v>1</v>
      </c>
      <c r="Z43" s="33" t="str">
        <f t="array" ref="Z43">IF(A43="","",
IFERROR(
INDEX('혈맹원 정보'!E$2:E1000,
MATCH(A43, '혈맹원 정보'!A$2:A1000, 0)
),
""))</f>
        <v>505937958256246784</v>
      </c>
    </row>
    <row r="44">
      <c r="A44" s="29" t="str">
        <f>IFERROR(__xludf.DUMMYFUNCTION("""COMPUTED_VALUE"""),"이중")</f>
        <v>이중</v>
      </c>
      <c r="B44" s="23" t="b">
        <v>0</v>
      </c>
      <c r="C44" s="30">
        <f>IF(Z44="","",COUNTIF('건들지말것'!A:A,Z44))</f>
        <v>0</v>
      </c>
      <c r="D44" s="8">
        <f t="shared" si="1"/>
        <v>0</v>
      </c>
      <c r="E44" s="8" t="str">
        <f>IFERROR(VLOOKUP(TRIM(A44), '혈맹원 정보'!A:C, 3, FALSE), "")</f>
        <v>기사</v>
      </c>
      <c r="F44" s="23" t="b">
        <v>0</v>
      </c>
      <c r="X44" s="8" t="b">
        <f t="shared" si="4"/>
        <v>1</v>
      </c>
      <c r="Z44" s="33" t="str">
        <f t="array" ref="Z44">IF(A44="","",
IFERROR(
INDEX('혈맹원 정보'!E$2:E1000,
MATCH(A44, '혈맹원 정보'!A$2:A1000, 0)
),
""))</f>
        <v>853460881970036746</v>
      </c>
    </row>
    <row r="45">
      <c r="A45" s="29" t="str">
        <f>IFERROR(__xludf.DUMMYFUNCTION("""COMPUTED_VALUE"""),"자자")</f>
        <v>자자</v>
      </c>
      <c r="B45" s="23" t="b">
        <v>0</v>
      </c>
      <c r="C45" s="30">
        <f>IF(Z45="","",COUNTIF('건들지말것'!A:A,Z45))</f>
        <v>79</v>
      </c>
      <c r="D45" s="8">
        <f t="shared" si="1"/>
        <v>0.2225352113</v>
      </c>
      <c r="E45" s="8" t="str">
        <f>IFERROR(VLOOKUP(TRIM(A45), '혈맹원 정보'!A:C, 3, FALSE), "")</f>
        <v>기사</v>
      </c>
      <c r="F45" s="23" t="b">
        <v>0</v>
      </c>
      <c r="X45" s="8" t="b">
        <f t="shared" si="4"/>
        <v>1</v>
      </c>
      <c r="Z45" s="33" t="str">
        <f t="array" ref="Z45">IF(A45="","",
IFERROR(
INDEX('혈맹원 정보'!E$2:E1000,
MATCH(A45, '혈맹원 정보'!A$2:A1000, 0)
),
""))</f>
        <v>1020371875743924264</v>
      </c>
    </row>
    <row r="46">
      <c r="A46" s="29" t="str">
        <f>IFERROR(__xludf.DUMMYFUNCTION("""COMPUTED_VALUE"""),"자자1")</f>
        <v>자자1</v>
      </c>
      <c r="B46" s="23" t="b">
        <v>0</v>
      </c>
      <c r="C46" s="30">
        <f>IF(Z46="","",COUNTIF('건들지말것'!A:A,Z46))</f>
        <v>10</v>
      </c>
      <c r="D46" s="8">
        <f t="shared" si="1"/>
        <v>0.02816901408</v>
      </c>
      <c r="E46" s="8" t="str">
        <f>IFERROR(VLOOKUP(TRIM(A46), '혈맹원 정보'!A:C, 3, FALSE), "")</f>
        <v>요정</v>
      </c>
      <c r="F46" s="23" t="b">
        <v>0</v>
      </c>
      <c r="X46" s="8" t="b">
        <f t="shared" si="4"/>
        <v>1</v>
      </c>
      <c r="Z46" s="33" t="str">
        <f t="array" ref="Z46">IF(A46="","",
IFERROR(
INDEX('혈맹원 정보'!E$2:E1000,
MATCH(A46, '혈맹원 정보'!A$2:A1000, 0)
),
""))</f>
        <v>844817980709011477</v>
      </c>
    </row>
    <row r="47">
      <c r="A47" s="29" t="str">
        <f>IFERROR(__xludf.DUMMYFUNCTION("""COMPUTED_VALUE"""),"잭스")</f>
        <v>잭스</v>
      </c>
      <c r="B47" s="23" t="b">
        <v>0</v>
      </c>
      <c r="C47" s="30">
        <f>IF(Z47="","",COUNTIF('건들지말것'!A:A,Z47))</f>
        <v>0</v>
      </c>
      <c r="D47" s="8">
        <f t="shared" si="1"/>
        <v>0</v>
      </c>
      <c r="E47" s="8" t="str">
        <f>IFERROR(VLOOKUP(TRIM(A47), '혈맹원 정보'!A:C, 3, FALSE), "")</f>
        <v>마법사</v>
      </c>
      <c r="F47" s="23" t="b">
        <v>0</v>
      </c>
      <c r="X47" s="8" t="b">
        <f t="shared" si="4"/>
        <v>1</v>
      </c>
      <c r="Z47" s="33" t="str">
        <f t="array" ref="Z47">IF(A47="","",
IFERROR(
INDEX('혈맹원 정보'!E$2:E1000,
MATCH(A47, '혈맹원 정보'!A$2:A1000, 0)
),
""))</f>
        <v>398886665118285824</v>
      </c>
    </row>
    <row r="48">
      <c r="A48" s="29" t="str">
        <f>IFERROR(__xludf.DUMMYFUNCTION("""COMPUTED_VALUE"""),"전생")</f>
        <v>전생</v>
      </c>
      <c r="B48" s="23" t="b">
        <v>0</v>
      </c>
      <c r="C48" s="30">
        <f>IF(Z48="","",COUNTIF('건들지말것'!A:A,Z48))</f>
        <v>0</v>
      </c>
      <c r="D48" s="8">
        <f t="shared" si="1"/>
        <v>0</v>
      </c>
      <c r="E48" s="8" t="str">
        <f>IFERROR(VLOOKUP(TRIM(A48), '혈맹원 정보'!A:C, 3, FALSE), "")</f>
        <v>마법사</v>
      </c>
      <c r="F48" s="23" t="b">
        <v>0</v>
      </c>
      <c r="X48" s="8" t="b">
        <f t="shared" si="4"/>
        <v>1</v>
      </c>
      <c r="Z48" s="33" t="str">
        <f t="array" ref="Z48">IF(A48="","",
IFERROR(
INDEX('혈맹원 정보'!E$2:E1000,
MATCH(A48, '혈맹원 정보'!A$2:A1000, 0)
),
""))</f>
        <v>331857804920881174</v>
      </c>
    </row>
    <row r="49">
      <c r="A49" s="29" t="str">
        <f>IFERROR(__xludf.DUMMYFUNCTION("""COMPUTED_VALUE"""),"졋탱")</f>
        <v>졋탱</v>
      </c>
      <c r="B49" s="23" t="b">
        <v>0</v>
      </c>
      <c r="C49" s="30">
        <f>IF(Z49="","",COUNTIF('건들지말것'!A:A,Z49))</f>
        <v>3</v>
      </c>
      <c r="D49" s="8">
        <f t="shared" si="1"/>
        <v>0.008450704225</v>
      </c>
      <c r="E49" s="8" t="str">
        <f>IFERROR(VLOOKUP(TRIM(A49), '혈맹원 정보'!A:C, 3, FALSE), "")</f>
        <v>요정</v>
      </c>
      <c r="F49" s="23" t="b">
        <v>0</v>
      </c>
      <c r="X49" s="8" t="b">
        <f t="shared" si="4"/>
        <v>1</v>
      </c>
      <c r="Z49" s="33" t="str">
        <f t="array" ref="Z49">IF(A49="","",
IFERROR(
INDEX('혈맹원 정보'!E$2:E1000,
MATCH(A49, '혈맹원 정보'!A$2:A1000, 0)
),
""))</f>
        <v>1066680050600120320</v>
      </c>
    </row>
    <row r="50">
      <c r="A50" s="29" t="str">
        <f>IFERROR(__xludf.DUMMYFUNCTION("""COMPUTED_VALUE"""),"주짱")</f>
        <v>주짱</v>
      </c>
      <c r="B50" s="23" t="b">
        <v>0</v>
      </c>
      <c r="C50" s="30">
        <f>IF(Z50="","",COUNTIF('건들지말것'!A:A,Z50))</f>
        <v>168</v>
      </c>
      <c r="D50" s="8">
        <f t="shared" si="1"/>
        <v>0.4732394366</v>
      </c>
      <c r="E50" s="8" t="str">
        <f>IFERROR(VLOOKUP(TRIM(A50), '혈맹원 정보'!A:C, 3, FALSE), "")</f>
        <v>요정</v>
      </c>
      <c r="F50" s="23" t="b">
        <v>0</v>
      </c>
      <c r="X50" s="8" t="b">
        <f t="shared" si="4"/>
        <v>1</v>
      </c>
      <c r="Z50" s="33" t="str">
        <f t="array" ref="Z50">IF(A50="","",
IFERROR(
INDEX('혈맹원 정보'!E$2:E1000,
MATCH(A50, '혈맹원 정보'!A$2:A1000, 0)
),
""))</f>
        <v>759374340306632705</v>
      </c>
    </row>
    <row r="51">
      <c r="A51" s="29" t="str">
        <f>IFERROR(__xludf.DUMMYFUNCTION("""COMPUTED_VALUE"""),"쥬드")</f>
        <v>쥬드</v>
      </c>
      <c r="B51" s="23" t="b">
        <v>0</v>
      </c>
      <c r="C51" s="30">
        <f>IF(Z51="","",COUNTIF('건들지말것'!A:A,Z51))</f>
        <v>92</v>
      </c>
      <c r="D51" s="8">
        <f t="shared" si="1"/>
        <v>0.2591549296</v>
      </c>
      <c r="E51" s="8" t="str">
        <f>IFERROR(VLOOKUP(TRIM(A51), '혈맹원 정보'!A:C, 3, FALSE), "")</f>
        <v>요정</v>
      </c>
      <c r="F51" s="23" t="b">
        <v>0</v>
      </c>
      <c r="X51" s="8" t="b">
        <f t="shared" si="4"/>
        <v>1</v>
      </c>
      <c r="Z51" s="33" t="str">
        <f t="array" ref="Z51">IF(A51="","",
IFERROR(
INDEX('혈맹원 정보'!E$2:E1000,
MATCH(A51, '혈맹원 정보'!A$2:A1000, 0)
),
""))</f>
        <v>886218457845223474</v>
      </c>
    </row>
    <row r="52">
      <c r="A52" s="29" t="str">
        <f>IFERROR(__xludf.DUMMYFUNCTION("""COMPUTED_VALUE"""),"최민우")</f>
        <v>최민우</v>
      </c>
      <c r="B52" s="23" t="b">
        <v>0</v>
      </c>
      <c r="C52" s="30">
        <f>IF(Z52="","",COUNTIF('건들지말것'!A:A,Z52))</f>
        <v>11</v>
      </c>
      <c r="D52" s="8">
        <f t="shared" si="1"/>
        <v>0.03098591549</v>
      </c>
      <c r="E52" s="8" t="str">
        <f>IFERROR(VLOOKUP(TRIM(A52), '혈맹원 정보'!A:C, 3, FALSE), "")</f>
        <v>기사</v>
      </c>
      <c r="F52" s="23" t="b">
        <v>0</v>
      </c>
      <c r="X52" s="8" t="b">
        <f t="shared" si="4"/>
        <v>1</v>
      </c>
      <c r="Z52" s="33" t="str">
        <f t="array" ref="Z52">IF(A52="","",
IFERROR(
INDEX('혈맹원 정보'!E$2:E1000,
MATCH(A52, '혈맹원 정보'!A$2:A1000, 0)
),
""))</f>
        <v>1482709604847718581</v>
      </c>
    </row>
    <row r="53">
      <c r="A53" s="29" t="str">
        <f>IFERROR(__xludf.DUMMYFUNCTION("""COMPUTED_VALUE"""),"최선미")</f>
        <v>최선미</v>
      </c>
      <c r="B53" s="23" t="b">
        <v>0</v>
      </c>
      <c r="C53" s="30">
        <f>IF(Z53="","",COUNTIF('건들지말것'!A:A,Z53))</f>
        <v>190</v>
      </c>
      <c r="D53" s="8">
        <f t="shared" si="1"/>
        <v>0.5352112676</v>
      </c>
      <c r="E53" s="8" t="str">
        <f>IFERROR(VLOOKUP(TRIM(A53), '혈맹원 정보'!A:C, 3, FALSE), "")</f>
        <v>요정</v>
      </c>
      <c r="F53" s="23" t="b">
        <v>0</v>
      </c>
      <c r="X53" s="8" t="b">
        <f t="shared" si="4"/>
        <v>1</v>
      </c>
      <c r="Z53" s="33" t="str">
        <f t="array" ref="Z53">IF(A53="","",
IFERROR(
INDEX('혈맹원 정보'!E$2:E1000,
MATCH(A53, '혈맹원 정보'!A$2:A1000, 0)
),
""))</f>
        <v>1211512803706540084</v>
      </c>
    </row>
    <row r="54">
      <c r="A54" s="29" t="str">
        <f>IFERROR(__xludf.DUMMYFUNCTION("""COMPUTED_VALUE"""),"턳")</f>
        <v>턳</v>
      </c>
      <c r="B54" s="23" t="b">
        <v>0</v>
      </c>
      <c r="C54" s="30">
        <f>IF(Z54="","",COUNTIF('건들지말것'!A:A,Z54))</f>
        <v>0</v>
      </c>
      <c r="D54" s="8">
        <f t="shared" si="1"/>
        <v>0</v>
      </c>
      <c r="E54" s="8" t="str">
        <f>IFERROR(VLOOKUP(TRIM(A54), '혈맹원 정보'!A:C, 3, FALSE), "")</f>
        <v>마법사</v>
      </c>
      <c r="F54" s="23" t="b">
        <v>0</v>
      </c>
      <c r="X54" s="8" t="b">
        <f t="shared" si="4"/>
        <v>1</v>
      </c>
      <c r="Z54" s="33" t="str">
        <f t="array" ref="Z54">IF(A54="","",
IFERROR(
INDEX('혈맹원 정보'!E$2:E1000,
MATCH(A54, '혈맹원 정보'!A$2:A1000, 0)
),
""))</f>
        <v>1213641288390414410</v>
      </c>
    </row>
    <row r="55">
      <c r="A55" s="29" t="str">
        <f>IFERROR(__xludf.DUMMYFUNCTION("""COMPUTED_VALUE"""),"파아그리오")</f>
        <v>파아그리오</v>
      </c>
      <c r="B55" s="23" t="b">
        <v>0</v>
      </c>
      <c r="C55" s="30">
        <f>IF(Z55="","",COUNTIF('건들지말것'!A:A,Z55))</f>
        <v>0</v>
      </c>
      <c r="D55" s="8">
        <f t="shared" si="1"/>
        <v>0</v>
      </c>
      <c r="E55" s="8" t="str">
        <f>IFERROR(VLOOKUP(TRIM(A55), '혈맹원 정보'!A:C, 3, FALSE), "")</f>
        <v>요정</v>
      </c>
      <c r="F55" s="23" t="b">
        <v>0</v>
      </c>
      <c r="X55" s="8" t="b">
        <f t="shared" si="4"/>
        <v>1</v>
      </c>
      <c r="Z55" s="33" t="str">
        <f t="array" ref="Z55">IF(A55="","",
IFERROR(
INDEX('혈맹원 정보'!E$2:E1000,
MATCH(A55, '혈맹원 정보'!A$2:A1000, 0)
),
""))</f>
        <v>420889565725851649</v>
      </c>
    </row>
    <row r="56">
      <c r="A56" s="29" t="str">
        <f>IFERROR(__xludf.DUMMYFUNCTION("""COMPUTED_VALUE"""),"팽자")</f>
        <v>팽자</v>
      </c>
      <c r="B56" s="23" t="b">
        <v>0</v>
      </c>
      <c r="C56" s="30">
        <f>IF(Z56="","",COUNTIF('건들지말것'!A:A,Z56))</f>
        <v>134</v>
      </c>
      <c r="D56" s="8">
        <f t="shared" si="1"/>
        <v>0.3774647887</v>
      </c>
      <c r="E56" s="8" t="str">
        <f>IFERROR(VLOOKUP(TRIM(A56), '혈맹원 정보'!A:C, 3, FALSE), "")</f>
        <v>요정</v>
      </c>
      <c r="F56" s="23" t="b">
        <v>0</v>
      </c>
      <c r="X56" s="8" t="b">
        <f t="shared" si="4"/>
        <v>1</v>
      </c>
      <c r="Z56" s="33" t="str">
        <f t="array" ref="Z56">IF(A56="","",
IFERROR(
INDEX('혈맹원 정보'!E$2:E1000,
MATCH(A56, '혈맹원 정보'!A$2:A1000, 0)
),
""))</f>
        <v>1261275854508396708</v>
      </c>
    </row>
    <row r="57">
      <c r="A57" s="29" t="str">
        <f>IFERROR(__xludf.DUMMYFUNCTION("""COMPUTED_VALUE"""),"포카칩")</f>
        <v>포카칩</v>
      </c>
      <c r="B57" s="23" t="b">
        <v>0</v>
      </c>
      <c r="C57" s="30">
        <f>IF(Z57="","",COUNTIF('건들지말것'!A:A,Z57))</f>
        <v>14</v>
      </c>
      <c r="D57" s="8">
        <f t="shared" si="1"/>
        <v>0.03943661972</v>
      </c>
      <c r="E57" s="8" t="str">
        <f>IFERROR(VLOOKUP(TRIM(A57), '혈맹원 정보'!A:C, 3, FALSE), "")</f>
        <v>군주</v>
      </c>
      <c r="F57" s="23" t="b">
        <v>0</v>
      </c>
      <c r="X57" s="8" t="b">
        <f t="shared" si="4"/>
        <v>1</v>
      </c>
      <c r="Z57" s="33" t="str">
        <f t="array" ref="Z57">IF(A57="","",
IFERROR(
INDEX('혈맹원 정보'!E$2:E1000,
MATCH(A57, '혈맹원 정보'!A$2:A1000, 0)
),
""))</f>
        <v>711844803767435315</v>
      </c>
    </row>
    <row r="58">
      <c r="A58" s="29" t="str">
        <f>IFERROR(__xludf.DUMMYFUNCTION("""COMPUTED_VALUE"""),"하아이")</f>
        <v>하아이</v>
      </c>
      <c r="B58" s="23" t="b">
        <v>0</v>
      </c>
      <c r="C58" s="30">
        <f>IF(Z58="","",COUNTIF('건들지말것'!A:A,Z58))</f>
        <v>198</v>
      </c>
      <c r="D58" s="8">
        <f t="shared" si="1"/>
        <v>0.5577464789</v>
      </c>
      <c r="E58" s="8" t="str">
        <f>IFERROR(VLOOKUP(TRIM(A58), '혈맹원 정보'!A:C, 3, FALSE), "")</f>
        <v>요정</v>
      </c>
      <c r="F58" s="23" t="b">
        <v>0</v>
      </c>
      <c r="X58" s="8" t="b">
        <f t="shared" si="4"/>
        <v>1</v>
      </c>
      <c r="Z58" s="33" t="str">
        <f t="array" ref="Z58">IF(A58="","",
IFERROR(
INDEX('혈맹원 정보'!E$2:E1000,
MATCH(A58, '혈맹원 정보'!A$2:A1000, 0)
),
""))</f>
        <v>322353660938158081</v>
      </c>
    </row>
    <row r="59">
      <c r="A59" s="29" t="str">
        <f>IFERROR(__xludf.DUMMYFUNCTION("""COMPUTED_VALUE"""),"한끗")</f>
        <v>한끗</v>
      </c>
      <c r="B59" s="23" t="b">
        <v>0</v>
      </c>
      <c r="C59" s="30">
        <f>IF(Z59="","",COUNTIF('건들지말것'!A:A,Z59))</f>
        <v>79</v>
      </c>
      <c r="D59" s="8">
        <f t="shared" si="1"/>
        <v>0.2225352113</v>
      </c>
      <c r="E59" s="8" t="str">
        <f>IFERROR(VLOOKUP(TRIM(A59), '혈맹원 정보'!A:C, 3, FALSE), "")</f>
        <v>요정</v>
      </c>
      <c r="F59" s="23" t="b">
        <v>0</v>
      </c>
      <c r="X59" s="8" t="b">
        <f t="shared" si="4"/>
        <v>1</v>
      </c>
      <c r="Z59" s="33" t="str">
        <f t="array" ref="Z59">IF(A59="","",
IFERROR(
INDEX('혈맹원 정보'!E$2:E1000,
MATCH(A59, '혈맹원 정보'!A$2:A1000, 0)
),
""))</f>
        <v>368726909011361793</v>
      </c>
    </row>
    <row r="60">
      <c r="A60" s="29" t="str">
        <f>IFERROR(__xludf.DUMMYFUNCTION("""COMPUTED_VALUE"""),"해하")</f>
        <v>해하</v>
      </c>
      <c r="B60" s="23" t="b">
        <v>0</v>
      </c>
      <c r="C60" s="30">
        <f>IF(Z60="","",COUNTIF('건들지말것'!A:A,Z60))</f>
        <v>8</v>
      </c>
      <c r="D60" s="8">
        <f t="shared" si="1"/>
        <v>0.02253521127</v>
      </c>
      <c r="E60" s="8" t="str">
        <f>IFERROR(VLOOKUP(TRIM(A60), '혈맹원 정보'!A:C, 3, FALSE), "")</f>
        <v>요정</v>
      </c>
      <c r="F60" s="23" t="b">
        <v>0</v>
      </c>
      <c r="X60" s="8" t="b">
        <f t="shared" si="4"/>
        <v>1</v>
      </c>
      <c r="Z60" s="33" t="str">
        <f t="array" ref="Z60">IF(A60="","",
IFERROR(
INDEX('혈맹원 정보'!E$2:E1000,
MATCH(A60, '혈맹원 정보'!A$2:A1000, 0)
),
""))</f>
        <v>1392309791916818543</v>
      </c>
    </row>
    <row r="61">
      <c r="A61" s="29" t="str">
        <f>IFERROR(__xludf.DUMMYFUNCTION("""COMPUTED_VALUE"""),"화장실")</f>
        <v>화장실</v>
      </c>
      <c r="B61" s="23" t="b">
        <v>0</v>
      </c>
      <c r="C61" s="30">
        <f>IF(Z61="","",COUNTIF('건들지말것'!A:A,Z61))</f>
        <v>66</v>
      </c>
      <c r="D61" s="8">
        <f t="shared" si="1"/>
        <v>0.185915493</v>
      </c>
      <c r="E61" s="8" t="str">
        <f>IFERROR(VLOOKUP(TRIM(A61), '혈맹원 정보'!A:C, 3, FALSE), "")</f>
        <v>요정</v>
      </c>
      <c r="F61" s="23" t="b">
        <v>0</v>
      </c>
      <c r="X61" s="8" t="b">
        <f t="shared" si="4"/>
        <v>1</v>
      </c>
      <c r="Z61" s="33" t="str">
        <f t="array" ref="Z61">IF(A61="","",
IFERROR(
INDEX('혈맹원 정보'!E$2:E1000,
MATCH(A61, '혈맹원 정보'!A$2:A1000, 0)
),
""))</f>
        <v>496286834309988381</v>
      </c>
    </row>
    <row r="62">
      <c r="A62" s="29" t="str">
        <f>IFERROR(__xludf.DUMMYFUNCTION("""COMPUTED_VALUE"""),"ECO")</f>
        <v>ECO</v>
      </c>
      <c r="B62" s="23" t="b">
        <v>0</v>
      </c>
      <c r="C62" s="30">
        <f>IF(Z62="","",COUNTIF('건들지말것'!A:A,Z62))</f>
        <v>183</v>
      </c>
      <c r="D62" s="8">
        <f t="shared" si="1"/>
        <v>0.5154929577</v>
      </c>
      <c r="E62" s="8" t="str">
        <f>IFERROR(VLOOKUP(TRIM(A62), '혈맹원 정보'!A:C, 3, FALSE), "")</f>
        <v>요정</v>
      </c>
      <c r="F62" s="23" t="b">
        <v>0</v>
      </c>
      <c r="X62" s="8" t="b">
        <f t="shared" si="4"/>
        <v>1</v>
      </c>
      <c r="Z62" s="33" t="str">
        <f t="array" ref="Z62">IF(A62="","",
IFERROR(
INDEX('혈맹원 정보'!E$2:E1000,
MATCH(A62, '혈맹원 정보'!A$2:A1000, 0)
),
""))</f>
        <v>1005629884246282301</v>
      </c>
    </row>
    <row r="63">
      <c r="A63" s="29" t="str">
        <f>IFERROR(__xludf.DUMMYFUNCTION("""COMPUTED_VALUE"""),"OSAKA")</f>
        <v>OSAKA</v>
      </c>
      <c r="B63" s="23" t="b">
        <v>0</v>
      </c>
      <c r="C63" s="30">
        <f>IF(Z63="","",COUNTIF('건들지말것'!A:A,Z63))</f>
        <v>173</v>
      </c>
      <c r="D63" s="8">
        <f t="shared" si="1"/>
        <v>0.4873239437</v>
      </c>
      <c r="E63" s="8" t="str">
        <f>IFERROR(VLOOKUP(TRIM(A63), '혈맹원 정보'!A:C, 3, FALSE), "")</f>
        <v>요정</v>
      </c>
      <c r="F63" s="23" t="b">
        <v>0</v>
      </c>
      <c r="X63" s="8" t="b">
        <f t="shared" si="4"/>
        <v>1</v>
      </c>
      <c r="Z63" s="33" t="str">
        <f t="array" ref="Z63">IF(A63="","",
IFERROR(
INDEX('혈맹원 정보'!E$2:E1000,
MATCH(A63, '혈맹원 정보'!A$2:A1000, 0)
),
""))</f>
        <v>310008488245985292</v>
      </c>
    </row>
    <row r="64">
      <c r="A64" s="29"/>
      <c r="B64" s="23" t="b">
        <v>0</v>
      </c>
      <c r="C64" s="30" t="str">
        <f>IF(Z64="","",COUNTIF('건들지말것'!A:A,Z64))</f>
        <v/>
      </c>
      <c r="D64" s="8">
        <f t="shared" si="1"/>
        <v>0</v>
      </c>
      <c r="E64" s="8" t="str">
        <f>IFERROR(VLOOKUP(TRIM(A64), '혈맹원 정보'!A:C, 3, FALSE), "")</f>
        <v/>
      </c>
      <c r="F64" s="23" t="b">
        <v>0</v>
      </c>
      <c r="X64" s="8" t="b">
        <f t="shared" si="4"/>
        <v>1</v>
      </c>
      <c r="Z64" s="33" t="str">
        <f t="array" ref="Z64">IF(A64="","",
IFERROR(
INDEX('혈맹원 정보'!E$2:E1000,
MATCH(A64, '혈맹원 정보'!A$2:A1000, 0)
),
""))</f>
        <v/>
      </c>
    </row>
    <row r="65">
      <c r="A65" s="29"/>
      <c r="B65" s="23" t="b">
        <v>0</v>
      </c>
      <c r="C65" s="30" t="str">
        <f>IF(Z65="","",COUNTIF('건들지말것'!A:A,Z65))</f>
        <v/>
      </c>
      <c r="D65" s="8">
        <f t="shared" si="1"/>
        <v>0</v>
      </c>
      <c r="E65" s="8" t="str">
        <f>IFERROR(VLOOKUP(TRIM(A65), '혈맹원 정보'!A:C, 3, FALSE), "")</f>
        <v/>
      </c>
      <c r="F65" s="23" t="b">
        <v>0</v>
      </c>
      <c r="X65" s="8" t="b">
        <f t="shared" si="4"/>
        <v>1</v>
      </c>
      <c r="Z65" s="33" t="str">
        <f t="array" ref="Z65">IF(A65="","",
IFERROR(
INDEX('혈맹원 정보'!E$2:E1000,
MATCH(A65, '혈맹원 정보'!A$2:A1000, 0)
),
""))</f>
        <v/>
      </c>
    </row>
    <row r="66">
      <c r="A66" s="29"/>
      <c r="B66" s="23" t="b">
        <v>0</v>
      </c>
      <c r="C66" s="30" t="str">
        <f>IF(Z66="","",COUNTIF('건들지말것'!A:A,Z66))</f>
        <v/>
      </c>
      <c r="D66" s="8">
        <f t="shared" si="1"/>
        <v>0</v>
      </c>
      <c r="E66" s="8" t="str">
        <f>IFERROR(VLOOKUP(TRIM(A66), '혈맹원 정보'!A:C, 3, FALSE), "")</f>
        <v/>
      </c>
      <c r="F66" s="23" t="b">
        <v>0</v>
      </c>
      <c r="Z66" s="33" t="str">
        <f t="array" ref="Z66">IF(A66="","",
IFERROR(
INDEX('혈맹원 정보'!E$2:E1000,
MATCH(A66, '혈맹원 정보'!A$2:A1000, 0)
),
""))</f>
        <v/>
      </c>
    </row>
    <row r="67">
      <c r="A67" s="29"/>
      <c r="B67" s="23" t="b">
        <v>0</v>
      </c>
      <c r="C67" s="30" t="str">
        <f>IF(Z67="","",COUNTIF('건들지말것'!A:A,Z67))</f>
        <v/>
      </c>
      <c r="D67" s="8">
        <f t="shared" si="1"/>
        <v>0</v>
      </c>
      <c r="E67" s="8" t="str">
        <f>IFERROR(VLOOKUP(TRIM(A67), '혈맹원 정보'!A:C, 3, FALSE), "")</f>
        <v/>
      </c>
      <c r="F67" s="23" t="b">
        <v>0</v>
      </c>
      <c r="Z67" s="33" t="str">
        <f t="array" ref="Z67">IF(A67="","",
IFERROR(
INDEX('혈맹원 정보'!E$2:E1000,
MATCH(A67, '혈맹원 정보'!A$2:A1000, 0)
),
""))</f>
        <v/>
      </c>
    </row>
    <row r="68">
      <c r="A68" s="29"/>
      <c r="B68" s="23" t="b">
        <v>0</v>
      </c>
      <c r="C68" s="30" t="str">
        <f>IF(Z68="","",COUNTIF('건들지말것'!A:A,Z68))</f>
        <v/>
      </c>
      <c r="D68" s="8">
        <f t="shared" si="1"/>
        <v>0</v>
      </c>
      <c r="E68" s="8" t="str">
        <f>IFERROR(VLOOKUP(TRIM(A68), '혈맹원 정보'!A:C, 3, FALSE), "")</f>
        <v/>
      </c>
      <c r="F68" s="23" t="b">
        <v>0</v>
      </c>
      <c r="Z68" s="33" t="str">
        <f t="array" ref="Z68">IF(A68="","",
IFERROR(
INDEX('혈맹원 정보'!E$2:E1000,
MATCH(A68, '혈맹원 정보'!A$2:A1000, 0)
),
""))</f>
        <v/>
      </c>
    </row>
    <row r="69">
      <c r="A69" s="29"/>
      <c r="B69" s="23" t="b">
        <v>0</v>
      </c>
      <c r="C69" s="30" t="str">
        <f>IF(Z69="","",COUNTIF('건들지말것'!A:A,Z69))</f>
        <v/>
      </c>
      <c r="D69" s="8">
        <f t="shared" si="1"/>
        <v>0</v>
      </c>
      <c r="E69" s="8" t="str">
        <f>IFERROR(VLOOKUP(TRIM(A69), '혈맹원 정보'!A:C, 3, FALSE), "")</f>
        <v/>
      </c>
      <c r="F69" s="23" t="b">
        <v>0</v>
      </c>
      <c r="Z69" s="33" t="str">
        <f t="array" ref="Z69">IF(A69="","",
IFERROR(
INDEX('혈맹원 정보'!E$2:E1000,
MATCH(A69, '혈맹원 정보'!A$2:A1000, 0)
),
""))</f>
        <v/>
      </c>
    </row>
    <row r="70">
      <c r="A70" s="29"/>
      <c r="B70" s="23" t="b">
        <v>0</v>
      </c>
      <c r="C70" s="30" t="str">
        <f>IF(Z70="","",COUNTIF('건들지말것'!A:A,Z70))</f>
        <v/>
      </c>
      <c r="D70" s="8">
        <f t="shared" si="1"/>
        <v>0</v>
      </c>
      <c r="E70" s="8" t="str">
        <f>IFERROR(VLOOKUP(TRIM(A70), '혈맹원 정보'!A:C, 3, FALSE), "")</f>
        <v/>
      </c>
      <c r="F70" s="23" t="b">
        <v>0</v>
      </c>
      <c r="Z70" s="33" t="str">
        <f t="array" ref="Z70">IF(A70="","",
IFERROR(
INDEX('혈맹원 정보'!E$2:E1000,
MATCH(A70, '혈맹원 정보'!A$2:A1000, 0)
),
""))</f>
        <v/>
      </c>
    </row>
    <row r="71">
      <c r="A71" s="29"/>
      <c r="B71" s="23" t="b">
        <v>0</v>
      </c>
      <c r="C71" s="30" t="str">
        <f>IF(Z71="","",COUNTIF('건들지말것'!A:A,Z71))</f>
        <v/>
      </c>
      <c r="D71" s="8">
        <f t="shared" si="1"/>
        <v>0</v>
      </c>
      <c r="E71" s="8" t="str">
        <f>IFERROR(VLOOKUP(TRIM(A71), '혈맹원 정보'!A:C, 3, FALSE), "")</f>
        <v/>
      </c>
      <c r="F71" s="23" t="b">
        <v>0</v>
      </c>
      <c r="Z71" s="33" t="str">
        <f t="array" ref="Z71">IF(A71="","",
IFERROR(
INDEX('혈맹원 정보'!E$2:E1000,
MATCH(A71, '혈맹원 정보'!A$2:A1000, 0)
),
""))</f>
        <v/>
      </c>
    </row>
    <row r="72">
      <c r="A72" s="29"/>
      <c r="B72" s="23" t="b">
        <v>0</v>
      </c>
      <c r="C72" s="30" t="str">
        <f>IF(Z72="","",COUNTIF('건들지말것'!A:A,Z72))</f>
        <v/>
      </c>
      <c r="D72" s="8">
        <f t="shared" si="1"/>
        <v>0</v>
      </c>
      <c r="E72" s="8" t="str">
        <f>IFERROR(VLOOKUP(TRIM(A72), '혈맹원 정보'!A:C, 3, FALSE), "")</f>
        <v/>
      </c>
      <c r="F72" s="23" t="b">
        <v>0</v>
      </c>
      <c r="Z72" s="33" t="str">
        <f t="array" ref="Z72">IF(A72="","",
IFERROR(
INDEX('혈맹원 정보'!E$2:E1000,
MATCH(A72, '혈맹원 정보'!A$2:A1000, 0)
),
""))</f>
        <v/>
      </c>
    </row>
    <row r="73">
      <c r="A73" s="29"/>
      <c r="B73" s="23" t="b">
        <v>0</v>
      </c>
      <c r="C73" s="30" t="str">
        <f>IF(Z73="","",COUNTIF('건들지말것'!A:A,Z73))</f>
        <v/>
      </c>
      <c r="D73" s="8">
        <f t="shared" si="1"/>
        <v>0</v>
      </c>
      <c r="E73" s="8" t="str">
        <f>IFERROR(VLOOKUP(TRIM(A73), '혈맹원 정보'!A:C, 3, FALSE), "")</f>
        <v/>
      </c>
      <c r="F73" s="23" t="b">
        <v>0</v>
      </c>
      <c r="Z73" s="33" t="str">
        <f t="array" ref="Z73">IF(A73="","",
IFERROR(
INDEX('혈맹원 정보'!E$2:E1000,
MATCH(A73, '혈맹원 정보'!A$2:A1000, 0)
),
""))</f>
        <v/>
      </c>
    </row>
    <row r="74">
      <c r="A74" s="29"/>
      <c r="B74" s="23" t="b">
        <v>0</v>
      </c>
      <c r="C74" s="30" t="str">
        <f>IF(Z74="","",COUNTIF('건들지말것'!A:A,Z74))</f>
        <v/>
      </c>
      <c r="D74" s="8">
        <f t="shared" si="1"/>
        <v>0</v>
      </c>
      <c r="E74" s="8" t="str">
        <f>IFERROR(VLOOKUP(TRIM(A74), '혈맹원 정보'!A:C, 3, FALSE), "")</f>
        <v/>
      </c>
      <c r="F74" s="23" t="b">
        <v>0</v>
      </c>
      <c r="Z74" s="33" t="str">
        <f t="array" ref="Z74">IF(A74="","",
IFERROR(
INDEX('혈맹원 정보'!E$2:E1000,
MATCH(A74, '혈맹원 정보'!A$2:A1000, 0)
),
""))</f>
        <v/>
      </c>
    </row>
    <row r="75">
      <c r="A75" s="29"/>
      <c r="B75" s="23" t="b">
        <v>0</v>
      </c>
      <c r="C75" s="30" t="str">
        <f>IF(Z75="","",COUNTIF('건들지말것'!A:A,Z75))</f>
        <v/>
      </c>
      <c r="D75" s="8">
        <f t="shared" si="1"/>
        <v>0</v>
      </c>
      <c r="E75" s="8" t="str">
        <f>IFERROR(VLOOKUP(TRIM(A75), '혈맹원 정보'!A:C, 3, FALSE), "")</f>
        <v/>
      </c>
      <c r="F75" s="23" t="b">
        <v>0</v>
      </c>
      <c r="Z75" s="33" t="str">
        <f t="array" ref="Z75">IF(A75="","",
IFERROR(
INDEX('혈맹원 정보'!E$2:E1000,
MATCH(A75, '혈맹원 정보'!A$2:A1000, 0)
),
""))</f>
        <v/>
      </c>
    </row>
    <row r="76">
      <c r="A76" s="29"/>
      <c r="B76" s="23" t="b">
        <v>0</v>
      </c>
      <c r="C76" s="30" t="str">
        <f>IF(Z76="","",COUNTIF('건들지말것'!A:A,Z76))</f>
        <v/>
      </c>
      <c r="D76" s="8">
        <f t="shared" si="1"/>
        <v>0</v>
      </c>
      <c r="E76" s="8" t="str">
        <f>IFERROR(VLOOKUP(TRIM(A76), '혈맹원 정보'!A:C, 3, FALSE), "")</f>
        <v/>
      </c>
      <c r="F76" s="23" t="b">
        <v>0</v>
      </c>
      <c r="Z76" s="33" t="str">
        <f t="array" ref="Z76">IF(A76="","",
IFERROR(
INDEX('혈맹원 정보'!E$2:E1000,
MATCH(A76, '혈맹원 정보'!A$2:A1000, 0)
),
""))</f>
        <v/>
      </c>
    </row>
    <row r="77">
      <c r="A77" s="29"/>
      <c r="B77" s="23" t="b">
        <v>0</v>
      </c>
      <c r="C77" s="30" t="str">
        <f>IF(Z77="","",COUNTIF('건들지말것'!A:A,Z77))</f>
        <v/>
      </c>
      <c r="D77" s="8">
        <f t="shared" si="1"/>
        <v>0</v>
      </c>
      <c r="E77" s="8" t="str">
        <f>IFERROR(VLOOKUP(TRIM(A77), '혈맹원 정보'!A:C, 3, FALSE), "")</f>
        <v/>
      </c>
      <c r="F77" s="23" t="b">
        <v>0</v>
      </c>
      <c r="Z77" s="33" t="str">
        <f t="array" ref="Z77">IF(A77="","",
IFERROR(
INDEX('혈맹원 정보'!E$2:E1000,
MATCH(A77, '혈맹원 정보'!A$2:A1000, 0)
),
""))</f>
        <v/>
      </c>
    </row>
    <row r="78">
      <c r="A78" s="29"/>
      <c r="B78" s="23" t="b">
        <v>0</v>
      </c>
      <c r="C78" s="30" t="str">
        <f>IF(Z78="","",COUNTIF('건들지말것'!A:A,Z78))</f>
        <v/>
      </c>
      <c r="D78" s="8">
        <f t="shared" si="1"/>
        <v>0</v>
      </c>
      <c r="E78" s="8" t="str">
        <f>IFERROR(VLOOKUP(TRIM(A78), '혈맹원 정보'!A:C, 3, FALSE), "")</f>
        <v/>
      </c>
      <c r="F78" s="23" t="b">
        <v>0</v>
      </c>
      <c r="Z78" s="33" t="str">
        <f t="array" ref="Z78">IF(A78="","",
IFERROR(
INDEX('혈맹원 정보'!E$2:E1000,
MATCH(A78, '혈맹원 정보'!A$2:A1000, 0)
),
""))</f>
        <v/>
      </c>
    </row>
    <row r="79">
      <c r="A79" s="29"/>
      <c r="B79" s="23" t="b">
        <v>0</v>
      </c>
      <c r="C79" s="30" t="str">
        <f>IF(Z79="","",COUNTIF('건들지말것'!A:A,Z79))</f>
        <v/>
      </c>
      <c r="D79" s="8">
        <f t="shared" si="1"/>
        <v>0</v>
      </c>
      <c r="E79" s="8" t="str">
        <f>IFERROR(VLOOKUP(TRIM(A79), '혈맹원 정보'!A:C, 3, FALSE), "")</f>
        <v/>
      </c>
      <c r="F79" s="23" t="b">
        <v>0</v>
      </c>
      <c r="Z79" s="33" t="str">
        <f t="array" ref="Z79">IF(A79="","",
IFERROR(
INDEX('혈맹원 정보'!E$2:E1000,
MATCH(A79, '혈맹원 정보'!A$2:A1000, 0)
),
""))</f>
        <v/>
      </c>
    </row>
    <row r="80">
      <c r="A80" s="29"/>
      <c r="B80" s="23" t="b">
        <v>0</v>
      </c>
      <c r="C80" s="30" t="str">
        <f>IF(Z80="","",COUNTIF('건들지말것'!A:A,Z80))</f>
        <v/>
      </c>
      <c r="D80" s="8">
        <f t="shared" si="1"/>
        <v>0</v>
      </c>
      <c r="E80" s="8" t="str">
        <f>IFERROR(VLOOKUP(TRIM(A80), '혈맹원 정보'!A:C, 3, FALSE), "")</f>
        <v/>
      </c>
      <c r="F80" s="23" t="b">
        <v>0</v>
      </c>
      <c r="Z80" s="33" t="str">
        <f t="array" ref="Z80">IF(A80="","",
IFERROR(
INDEX('혈맹원 정보'!E$2:E1000,
MATCH(A80, '혈맹원 정보'!A$2:A1000, 0)
),
""))</f>
        <v/>
      </c>
    </row>
    <row r="81">
      <c r="A81" s="29"/>
      <c r="B81" s="23" t="b">
        <v>0</v>
      </c>
      <c r="C81" s="30" t="str">
        <f>IF(Z81="","",COUNTIF('건들지말것'!A:A,Z81))</f>
        <v/>
      </c>
      <c r="D81" s="8">
        <f t="shared" si="1"/>
        <v>0</v>
      </c>
      <c r="E81" s="8" t="str">
        <f>IFERROR(VLOOKUP(TRIM(A81), '혈맹원 정보'!A:C, 3, FALSE), "")</f>
        <v/>
      </c>
      <c r="F81" s="23" t="b">
        <v>0</v>
      </c>
      <c r="Z81" s="33" t="str">
        <f t="array" ref="Z81">IF(A81="","",
IFERROR(
INDEX('혈맹원 정보'!E$2:E1000,
MATCH(A81, '혈맹원 정보'!A$2:A1000, 0)
),
""))</f>
        <v/>
      </c>
    </row>
    <row r="82">
      <c r="A82" s="29"/>
      <c r="B82" s="23" t="b">
        <v>0</v>
      </c>
      <c r="C82" s="30" t="str">
        <f>IF(Z82="","",COUNTIF('건들지말것'!A:A,Z82))</f>
        <v/>
      </c>
      <c r="D82" s="8">
        <f t="shared" si="1"/>
        <v>0</v>
      </c>
      <c r="E82" s="8" t="str">
        <f>IFERROR(VLOOKUP(TRIM(A82), '혈맹원 정보'!A:C, 3, FALSE), "")</f>
        <v/>
      </c>
      <c r="F82" s="23" t="b">
        <v>0</v>
      </c>
      <c r="Z82" s="33" t="str">
        <f t="array" ref="Z82">IF(A82="","",
IFERROR(
INDEX('혈맹원 정보'!E$2:E1000,
MATCH(A82, '혈맹원 정보'!A$2:A1000, 0)
),
""))</f>
        <v/>
      </c>
    </row>
    <row r="83">
      <c r="A83" s="29"/>
      <c r="B83" s="23" t="b">
        <v>0</v>
      </c>
      <c r="C83" s="30" t="str">
        <f>IF(Z83="","",COUNTIF('건들지말것'!A:A,Z83))</f>
        <v/>
      </c>
      <c r="D83" s="8">
        <f t="shared" si="1"/>
        <v>0</v>
      </c>
      <c r="E83" s="8" t="str">
        <f>IFERROR(VLOOKUP(TRIM(A83), '혈맹원 정보'!A:C, 3, FALSE), "")</f>
        <v/>
      </c>
      <c r="F83" s="23" t="b">
        <v>0</v>
      </c>
      <c r="Z83" s="33" t="str">
        <f t="array" ref="Z83">IF(A83="","",
IFERROR(
INDEX('혈맹원 정보'!E$2:E1000,
MATCH(A83, '혈맹원 정보'!A$2:A1000, 0)
),
""))</f>
        <v/>
      </c>
    </row>
    <row r="84">
      <c r="A84" s="29"/>
      <c r="B84" s="23" t="b">
        <v>0</v>
      </c>
      <c r="C84" s="30" t="str">
        <f>IF(Z84="","",COUNTIF('건들지말것'!A:A,Z84))</f>
        <v/>
      </c>
      <c r="D84" s="8">
        <f t="shared" si="1"/>
        <v>0</v>
      </c>
      <c r="E84" s="8" t="str">
        <f>IFERROR(VLOOKUP(TRIM(A84), '혈맹원 정보'!A:C, 3, FALSE), "")</f>
        <v/>
      </c>
      <c r="F84" s="23" t="b">
        <v>0</v>
      </c>
      <c r="Z84" s="33" t="str">
        <f t="array" ref="Z84">IF(A84="","",
IFERROR(
INDEX('혈맹원 정보'!E$2:E1000,
MATCH(A84, '혈맹원 정보'!A$2:A1000, 0)
),
""))</f>
        <v/>
      </c>
    </row>
    <row r="85">
      <c r="A85" s="29"/>
      <c r="B85" s="23" t="b">
        <v>0</v>
      </c>
      <c r="C85" s="30" t="str">
        <f>IF(Z85="","",COUNTIF('건들지말것'!A:A,Z85))</f>
        <v/>
      </c>
      <c r="D85" s="8">
        <f t="shared" si="1"/>
        <v>0</v>
      </c>
      <c r="E85" s="8" t="str">
        <f>IFERROR(VLOOKUP(TRIM(A85), '혈맹원 정보'!A:C, 3, FALSE), "")</f>
        <v/>
      </c>
      <c r="F85" s="23" t="b">
        <v>0</v>
      </c>
      <c r="Z85" s="33" t="str">
        <f t="array" ref="Z85">IF(A85="","",
IFERROR(
INDEX('혈맹원 정보'!E$2:E1000,
MATCH(A85, '혈맹원 정보'!A$2:A1000, 0)
),
""))</f>
        <v/>
      </c>
    </row>
    <row r="86">
      <c r="A86" s="29"/>
      <c r="B86" s="23" t="b">
        <v>0</v>
      </c>
      <c r="C86" s="30" t="str">
        <f>IF(Z86="","",COUNTIF('건들지말것'!A:A,Z86))</f>
        <v/>
      </c>
      <c r="D86" s="8">
        <f t="shared" si="1"/>
        <v>0</v>
      </c>
      <c r="E86" s="8" t="str">
        <f>IFERROR(VLOOKUP(TRIM(A86), '혈맹원 정보'!A:C, 3, FALSE), "")</f>
        <v/>
      </c>
      <c r="F86" s="23" t="b">
        <v>0</v>
      </c>
      <c r="Z86" s="33" t="str">
        <f t="array" ref="Z86">IF(A86="","",
IFERROR(
INDEX('혈맹원 정보'!E$2:E1000,
MATCH(A86, '혈맹원 정보'!A$2:A1000, 0)
),
""))</f>
        <v/>
      </c>
    </row>
    <row r="87">
      <c r="A87" s="29"/>
      <c r="B87" s="23" t="b">
        <v>0</v>
      </c>
      <c r="C87" s="30" t="str">
        <f>IF(Z87="","",COUNTIF('건들지말것'!A:A,Z87))</f>
        <v/>
      </c>
      <c r="D87" s="8">
        <f t="shared" si="1"/>
        <v>0</v>
      </c>
      <c r="E87" s="8" t="str">
        <f>IFERROR(VLOOKUP(TRIM(A87), '혈맹원 정보'!A:C, 3, FALSE), "")</f>
        <v/>
      </c>
      <c r="F87" s="23" t="b">
        <v>0</v>
      </c>
      <c r="Z87" s="33" t="str">
        <f t="array" ref="Z87">IF(A87="","",
IFERROR(
INDEX('혈맹원 정보'!E$2:E1000,
MATCH(A87, '혈맹원 정보'!A$2:A1000, 0)
),
""))</f>
        <v/>
      </c>
    </row>
    <row r="88">
      <c r="A88" s="29"/>
      <c r="B88" s="23" t="b">
        <v>0</v>
      </c>
      <c r="C88" s="30" t="str">
        <f>IF(Z88="","",COUNTIF('건들지말것'!A:A,Z88))</f>
        <v/>
      </c>
      <c r="D88" s="8">
        <f t="shared" si="1"/>
        <v>0</v>
      </c>
      <c r="E88" s="8" t="str">
        <f>IFERROR(VLOOKUP(TRIM(A88), '혈맹원 정보'!A:C, 3, FALSE), "")</f>
        <v/>
      </c>
      <c r="F88" s="23" t="b">
        <v>0</v>
      </c>
      <c r="Z88" s="33" t="str">
        <f t="array" ref="Z88">IF(A88="","",
IFERROR(
INDEX('혈맹원 정보'!E$2:E1000,
MATCH(A88, '혈맹원 정보'!A$2:A1000, 0)
),
""))</f>
        <v/>
      </c>
    </row>
    <row r="89">
      <c r="A89" s="29"/>
      <c r="B89" s="23" t="b">
        <v>0</v>
      </c>
      <c r="C89" s="30" t="str">
        <f>IF(Z89="","",COUNTIF('건들지말것'!A:A,Z89))</f>
        <v/>
      </c>
      <c r="D89" s="8">
        <f t="shared" si="1"/>
        <v>0</v>
      </c>
      <c r="E89" s="8" t="str">
        <f>IFERROR(VLOOKUP(TRIM(A89), '혈맹원 정보'!A:C, 3, FALSE), "")</f>
        <v/>
      </c>
      <c r="F89" s="23" t="b">
        <v>0</v>
      </c>
      <c r="Z89" s="33" t="str">
        <f t="array" ref="Z89">IF(A89="","",
IFERROR(
INDEX('혈맹원 정보'!E$2:E1000,
MATCH(A89, '혈맹원 정보'!A$2:A1000, 0)
),
""))</f>
        <v/>
      </c>
    </row>
    <row r="90">
      <c r="A90" s="29"/>
      <c r="B90" s="23" t="b">
        <v>0</v>
      </c>
      <c r="C90" s="30" t="str">
        <f>IF(Z90="","",COUNTIF('건들지말것'!A:A,Z90))</f>
        <v/>
      </c>
      <c r="D90" s="8">
        <f t="shared" si="1"/>
        <v>0</v>
      </c>
      <c r="E90" s="8" t="str">
        <f>IFERROR(VLOOKUP(TRIM(A90), '혈맹원 정보'!A:C, 3, FALSE), "")</f>
        <v/>
      </c>
      <c r="F90" s="23" t="b">
        <v>0</v>
      </c>
      <c r="Z90" s="33" t="str">
        <f t="array" ref="Z90">IF(A90="","",
IFERROR(
INDEX('혈맹원 정보'!E$2:E1000,
MATCH(A90, '혈맹원 정보'!A$2:A1000, 0)
),
""))</f>
        <v/>
      </c>
    </row>
    <row r="91">
      <c r="A91" s="29"/>
      <c r="B91" s="23" t="b">
        <v>0</v>
      </c>
      <c r="C91" s="30" t="str">
        <f>IF(Z91="","",COUNTIF('건들지말것'!A:A,Z91))</f>
        <v/>
      </c>
      <c r="D91" s="8">
        <f t="shared" si="1"/>
        <v>0</v>
      </c>
      <c r="E91" s="8" t="str">
        <f>IFERROR(VLOOKUP(TRIM(A91), '혈맹원 정보'!A:C, 3, FALSE), "")</f>
        <v/>
      </c>
      <c r="F91" s="23" t="b">
        <v>0</v>
      </c>
      <c r="Z91" s="33" t="str">
        <f t="array" ref="Z91">IF(A91="","",
IFERROR(
INDEX('혈맹원 정보'!E$2:E1000,
MATCH(A91, '혈맹원 정보'!A$2:A1000, 0)
),
""))</f>
        <v/>
      </c>
    </row>
    <row r="92">
      <c r="A92" s="29"/>
      <c r="B92" s="23" t="b">
        <v>0</v>
      </c>
      <c r="C92" s="30" t="str">
        <f>IF(Z92="","",COUNTIF('건들지말것'!A:A,Z92))</f>
        <v/>
      </c>
      <c r="D92" s="8">
        <f t="shared" si="1"/>
        <v>0</v>
      </c>
      <c r="E92" s="8" t="str">
        <f>IFERROR(VLOOKUP(TRIM(A92), '혈맹원 정보'!A:C, 3, FALSE), "")</f>
        <v/>
      </c>
      <c r="F92" s="23" t="b">
        <v>0</v>
      </c>
      <c r="Z92" s="33" t="str">
        <f t="array" ref="Z92">IF(A92="","",
IFERROR(
INDEX('혈맹원 정보'!E$2:E1000,
MATCH(A92, '혈맹원 정보'!A$2:A1000, 0)
),
""))</f>
        <v/>
      </c>
    </row>
    <row r="93">
      <c r="A93" s="29"/>
      <c r="B93" s="23" t="b">
        <v>0</v>
      </c>
      <c r="C93" s="30" t="str">
        <f>IF(Z93="","",COUNTIF('건들지말것'!A:A,Z93))</f>
        <v/>
      </c>
      <c r="D93" s="8">
        <f t="shared" si="1"/>
        <v>0</v>
      </c>
      <c r="E93" s="8" t="str">
        <f>IFERROR(VLOOKUP(TRIM(A93), '혈맹원 정보'!A:C, 3, FALSE), "")</f>
        <v/>
      </c>
      <c r="F93" s="23" t="b">
        <v>0</v>
      </c>
      <c r="Z93" s="33" t="str">
        <f t="array" ref="Z93">IF(A93="","",
IFERROR(
INDEX('혈맹원 정보'!E$2:E1000,
MATCH(A93, '혈맹원 정보'!A$2:A1000, 0)
),
""))</f>
        <v/>
      </c>
    </row>
    <row r="94">
      <c r="A94" s="29"/>
      <c r="B94" s="23" t="b">
        <v>0</v>
      </c>
      <c r="C94" s="30" t="str">
        <f>IF(Z94="","",COUNTIF('건들지말것'!A:A,Z94))</f>
        <v/>
      </c>
      <c r="D94" s="8">
        <f t="shared" si="1"/>
        <v>0</v>
      </c>
      <c r="E94" s="8" t="str">
        <f>IFERROR(VLOOKUP(TRIM(A94), '혈맹원 정보'!A:C, 3, FALSE), "")</f>
        <v/>
      </c>
      <c r="F94" s="23" t="b">
        <v>0</v>
      </c>
      <c r="Z94" s="33" t="str">
        <f t="array" ref="Z94">IF(A94="","",
IFERROR(
INDEX('혈맹원 정보'!E$2:E1000,
MATCH(A94, '혈맹원 정보'!A$2:A1000, 0)
),
""))</f>
        <v/>
      </c>
    </row>
    <row r="95">
      <c r="A95" s="29"/>
      <c r="B95" s="23" t="b">
        <v>0</v>
      </c>
      <c r="C95" s="30" t="str">
        <f>IF(Z95="","",COUNTIF('건들지말것'!A:A,Z95))</f>
        <v/>
      </c>
      <c r="D95" s="8">
        <f t="shared" si="1"/>
        <v>0</v>
      </c>
      <c r="E95" s="8" t="str">
        <f>IFERROR(VLOOKUP(TRIM(A95), '혈맹원 정보'!A:C, 3, FALSE), "")</f>
        <v/>
      </c>
      <c r="F95" s="23" t="b">
        <v>0</v>
      </c>
      <c r="Z95" s="33" t="str">
        <f t="array" ref="Z95">IF(A95="","",
IFERROR(
INDEX('혈맹원 정보'!E$2:E1000,
MATCH(A95, '혈맹원 정보'!A$2:A1000, 0)
),
""))</f>
        <v/>
      </c>
    </row>
    <row r="96">
      <c r="A96" s="29"/>
      <c r="B96" s="23" t="b">
        <v>0</v>
      </c>
      <c r="C96" s="30" t="str">
        <f>IF(Z96="","",COUNTIF('건들지말것'!A:A,Z96))</f>
        <v/>
      </c>
      <c r="D96" s="8">
        <f t="shared" si="1"/>
        <v>0</v>
      </c>
      <c r="E96" s="8" t="str">
        <f>IFERROR(VLOOKUP(TRIM(A96), '혈맹원 정보'!A:C, 3, FALSE), "")</f>
        <v/>
      </c>
      <c r="F96" s="23" t="b">
        <v>0</v>
      </c>
      <c r="Z96" s="33" t="str">
        <f t="array" ref="Z96">IF(A96="","",
IFERROR(
INDEX('혈맹원 정보'!E$2:E1000,
MATCH(A96, '혈맹원 정보'!A$2:A1000, 0)
),
""))</f>
        <v/>
      </c>
    </row>
    <row r="97">
      <c r="A97" s="29"/>
      <c r="B97" s="23" t="b">
        <v>0</v>
      </c>
      <c r="C97" s="30" t="str">
        <f>IF(Z97="","",COUNTIF('건들지말것'!A:A,Z97))</f>
        <v/>
      </c>
      <c r="D97" s="8">
        <f t="shared" si="1"/>
        <v>0</v>
      </c>
      <c r="E97" s="8" t="str">
        <f>IFERROR(VLOOKUP(TRIM(A97), '혈맹원 정보'!A:C, 3, FALSE), "")</f>
        <v/>
      </c>
      <c r="F97" s="23" t="b">
        <v>0</v>
      </c>
      <c r="Z97" s="33" t="str">
        <f t="array" ref="Z97">IF(A97="","",
IFERROR(
INDEX('혈맹원 정보'!E$2:E1000,
MATCH(A97, '혈맹원 정보'!A$2:A1000, 0)
),
""))</f>
        <v/>
      </c>
    </row>
    <row r="98">
      <c r="A98" s="29"/>
      <c r="B98" s="23" t="b">
        <v>0</v>
      </c>
      <c r="C98" s="30" t="str">
        <f>IF(Z98="","",COUNTIF('건들지말것'!A:A,Z98))</f>
        <v/>
      </c>
      <c r="D98" s="8">
        <f t="shared" si="1"/>
        <v>0</v>
      </c>
      <c r="E98" s="8" t="str">
        <f>IFERROR(VLOOKUP(TRIM(A98), '혈맹원 정보'!A:C, 3, FALSE), "")</f>
        <v/>
      </c>
      <c r="F98" s="23" t="b">
        <v>0</v>
      </c>
      <c r="Z98" s="33" t="str">
        <f t="array" ref="Z98">IF(A98="","",
IFERROR(
INDEX('혈맹원 정보'!E$2:E1000,
MATCH(A98, '혈맹원 정보'!A$2:A1000, 0)
),
""))</f>
        <v/>
      </c>
    </row>
    <row r="99">
      <c r="A99" s="29"/>
      <c r="B99" s="23" t="b">
        <v>0</v>
      </c>
      <c r="C99" s="30" t="str">
        <f>IF(Z99="","",COUNTIF('건들지말것'!A:A,Z99))</f>
        <v/>
      </c>
      <c r="D99" s="8">
        <f t="shared" si="1"/>
        <v>0</v>
      </c>
      <c r="E99" s="8" t="str">
        <f>IFERROR(VLOOKUP(TRIM(A99), '혈맹원 정보'!A:C, 3, FALSE), "")</f>
        <v/>
      </c>
      <c r="F99" s="23" t="b">
        <v>0</v>
      </c>
      <c r="Z99" s="33" t="str">
        <f t="array" ref="Z99">IF(A99="","",
IFERROR(
INDEX('혈맹원 정보'!E$2:E1000,
MATCH(A99, '혈맹원 정보'!A$2:A1000, 0)
),
""))</f>
        <v/>
      </c>
    </row>
    <row r="100">
      <c r="A100" s="29"/>
      <c r="B100" s="23" t="b">
        <v>0</v>
      </c>
      <c r="C100" s="30" t="str">
        <f>IF(Z100="","",COUNTIF('건들지말것'!A:A,Z100))</f>
        <v/>
      </c>
      <c r="D100" s="8">
        <f t="shared" si="1"/>
        <v>0</v>
      </c>
      <c r="E100" s="8" t="str">
        <f>IFERROR(VLOOKUP(TRIM(A100), '혈맹원 정보'!A:C, 3, FALSE), "")</f>
        <v/>
      </c>
      <c r="F100" s="23" t="b">
        <v>0</v>
      </c>
      <c r="Z100" s="33" t="str">
        <f t="array" ref="Z100">IF(A100="","",
IFERROR(
INDEX('혈맹원 정보'!E$2:E1000,
MATCH(A100, '혈맹원 정보'!A$2:A1000, 0)
),
""))</f>
        <v/>
      </c>
    </row>
    <row r="101">
      <c r="A101" s="29"/>
      <c r="B101" s="23" t="b">
        <v>0</v>
      </c>
      <c r="C101" s="30" t="str">
        <f>IF(Z101="","",COUNTIF('건들지말것'!A:A,Z101))</f>
        <v/>
      </c>
      <c r="D101" s="8">
        <f t="shared" si="1"/>
        <v>0</v>
      </c>
      <c r="E101" s="8" t="str">
        <f>IFERROR(VLOOKUP(TRIM(A101), '혈맹원 정보'!A:C, 3, FALSE), "")</f>
        <v/>
      </c>
      <c r="F101" s="23" t="b">
        <v>0</v>
      </c>
      <c r="Z101" s="33" t="str">
        <f t="array" ref="Z101">IF(A101="","",
IFERROR(
INDEX('혈맹원 정보'!E$2:E1000,
MATCH(A101, '혈맹원 정보'!A$2:A1000, 0)
),
""))</f>
        <v/>
      </c>
    </row>
    <row r="102">
      <c r="A102" s="29"/>
      <c r="B102" s="23" t="b">
        <v>0</v>
      </c>
      <c r="C102" s="30" t="str">
        <f>IF(Z102="","",COUNTIF('건들지말것'!A:A,Z102))</f>
        <v/>
      </c>
      <c r="D102" s="8">
        <f t="shared" si="1"/>
        <v>0</v>
      </c>
      <c r="E102" s="8" t="str">
        <f>IFERROR(VLOOKUP(TRIM(A102), '혈맹원 정보'!A:C, 3, FALSE), "")</f>
        <v/>
      </c>
      <c r="F102" s="23" t="b">
        <v>0</v>
      </c>
      <c r="Z102" s="33" t="str">
        <f t="array" ref="Z102">IF(A102="","",
IFERROR(
INDEX('혈맹원 정보'!E$2:E1000,
MATCH(A102, '혈맹원 정보'!A$2:A1000, 0)
),
""))</f>
        <v/>
      </c>
    </row>
    <row r="103">
      <c r="A103" s="29"/>
      <c r="B103" s="23" t="b">
        <v>0</v>
      </c>
      <c r="C103" s="30" t="str">
        <f>IF(Z103="","",COUNTIF('건들지말것'!A:A,Z103))</f>
        <v/>
      </c>
      <c r="D103" s="8">
        <f t="shared" si="1"/>
        <v>0</v>
      </c>
      <c r="E103" s="8" t="str">
        <f>IFERROR(VLOOKUP(TRIM(A103), '혈맹원 정보'!A:C, 3, FALSE), "")</f>
        <v/>
      </c>
      <c r="F103" s="23" t="b">
        <v>0</v>
      </c>
      <c r="Z103" s="33" t="str">
        <f t="array" ref="Z103">IF(A103="","",
IFERROR(
INDEX('혈맹원 정보'!E$2:E1000,
MATCH(A103, '혈맹원 정보'!A$2:A1000, 0)
),
""))</f>
        <v/>
      </c>
    </row>
    <row r="104">
      <c r="A104" s="29"/>
      <c r="B104" s="23" t="b">
        <v>0</v>
      </c>
      <c r="C104" s="30" t="str">
        <f>IF(Z104="","",COUNTIF('건들지말것'!A:A,Z104))</f>
        <v/>
      </c>
      <c r="D104" s="8">
        <f t="shared" si="1"/>
        <v>0</v>
      </c>
      <c r="E104" s="8" t="str">
        <f>IFERROR(VLOOKUP(TRIM(A104), '혈맹원 정보'!A:C, 3, FALSE), "")</f>
        <v/>
      </c>
      <c r="F104" s="23" t="b">
        <v>0</v>
      </c>
      <c r="Z104" s="33" t="str">
        <f t="array" ref="Z104">IF(A104="","",
IFERROR(
INDEX('혈맹원 정보'!E$2:E1000,
MATCH(A104, '혈맹원 정보'!A$2:A1000, 0)
),
""))</f>
        <v/>
      </c>
    </row>
    <row r="105">
      <c r="A105" s="29"/>
      <c r="B105" s="23" t="b">
        <v>0</v>
      </c>
      <c r="C105" s="30" t="str">
        <f>IF(Z105="","",COUNTIF('건들지말것'!A:A,Z105))</f>
        <v/>
      </c>
      <c r="D105" s="8">
        <f t="shared" si="1"/>
        <v>0</v>
      </c>
      <c r="E105" s="8" t="str">
        <f>IFERROR(VLOOKUP(TRIM(A105), '혈맹원 정보'!A:C, 3, FALSE), "")</f>
        <v/>
      </c>
      <c r="F105" s="23" t="b">
        <v>0</v>
      </c>
      <c r="Z105" s="33" t="str">
        <f t="array" ref="Z105">IF(A105="","",
IFERROR(
INDEX('혈맹원 정보'!E$2:E1000,
MATCH(A105, '혈맹원 정보'!A$2:A1000, 0)
),
""))</f>
        <v/>
      </c>
    </row>
    <row r="106">
      <c r="A106" s="29"/>
      <c r="B106" s="23" t="b">
        <v>0</v>
      </c>
      <c r="C106" s="30" t="str">
        <f>IF(Z106="","",COUNTIF('건들지말것'!A:A,Z106))</f>
        <v/>
      </c>
      <c r="D106" s="8">
        <f t="shared" si="1"/>
        <v>0</v>
      </c>
      <c r="E106" s="8" t="str">
        <f>IFERROR(VLOOKUP(TRIM(A106), '혈맹원 정보'!A:C, 3, FALSE), "")</f>
        <v/>
      </c>
      <c r="F106" s="23" t="b">
        <v>0</v>
      </c>
      <c r="Z106" s="33" t="str">
        <f t="array" ref="Z106">IF(A106="","",
IFERROR(
INDEX('혈맹원 정보'!E$2:E1000,
MATCH(A106, '혈맹원 정보'!A$2:A1000, 0)
),
""))</f>
        <v/>
      </c>
    </row>
    <row r="107">
      <c r="A107" s="29"/>
      <c r="B107" s="23" t="b">
        <v>0</v>
      </c>
      <c r="C107" s="30" t="str">
        <f>IF(Z107="","",COUNTIF('건들지말것'!A:A,Z107))</f>
        <v/>
      </c>
      <c r="D107" s="8">
        <f t="shared" si="1"/>
        <v>0</v>
      </c>
      <c r="E107" s="8" t="str">
        <f>IFERROR(VLOOKUP(TRIM(A107), '혈맹원 정보'!A:C, 3, FALSE), "")</f>
        <v/>
      </c>
      <c r="F107" s="23" t="b">
        <v>0</v>
      </c>
      <c r="Z107" s="33" t="str">
        <f t="array" ref="Z107">IF(A107="","",
IFERROR(
INDEX('혈맹원 정보'!E$2:E1000,
MATCH(A107, '혈맹원 정보'!A$2:A1000, 0)
),
""))</f>
        <v/>
      </c>
    </row>
    <row r="108">
      <c r="A108" s="29"/>
      <c r="B108" s="23" t="b">
        <v>0</v>
      </c>
      <c r="C108" s="30" t="str">
        <f>IF(Z108="","",COUNTIF('건들지말것'!A:A,Z108))</f>
        <v/>
      </c>
      <c r="D108" s="8">
        <f t="shared" si="1"/>
        <v>0</v>
      </c>
      <c r="E108" s="8" t="str">
        <f>IFERROR(VLOOKUP(TRIM(A108), '혈맹원 정보'!A:C, 3, FALSE), "")</f>
        <v/>
      </c>
      <c r="F108" s="23" t="b">
        <v>0</v>
      </c>
      <c r="Z108" s="33" t="str">
        <f t="array" ref="Z108">IF(A108="","",
IFERROR(
INDEX('혈맹원 정보'!E$2:E1000,
MATCH(A108, '혈맹원 정보'!A$2:A1000, 0)
),
""))</f>
        <v/>
      </c>
    </row>
    <row r="109">
      <c r="A109" s="29"/>
      <c r="B109" s="23" t="b">
        <v>0</v>
      </c>
      <c r="C109" s="30" t="str">
        <f>IF(Z109="","",COUNTIF('건들지말것'!A:A,Z109))</f>
        <v/>
      </c>
      <c r="D109" s="8">
        <f t="shared" si="1"/>
        <v>0</v>
      </c>
      <c r="E109" s="8" t="str">
        <f>IFERROR(VLOOKUP(TRIM(A109), '혈맹원 정보'!A:C, 3, FALSE), "")</f>
        <v/>
      </c>
      <c r="F109" s="8" t="b">
        <v>0</v>
      </c>
      <c r="Z109" s="33" t="str">
        <f t="array" ref="Z109">IF(A109="","",
IFERROR(
INDEX('혈맹원 정보'!E$2:E1000,
MATCH(A109, '혈맹원 정보'!A$2:A1000, 0)
),
""))</f>
        <v/>
      </c>
    </row>
    <row r="110">
      <c r="A110" s="29"/>
      <c r="B110" s="23" t="b">
        <v>0</v>
      </c>
      <c r="C110" s="30" t="str">
        <f>IF(Z110="","",COUNTIF('건들지말것'!A:A,Z110))</f>
        <v/>
      </c>
      <c r="D110" s="8">
        <f t="shared" si="1"/>
        <v>0</v>
      </c>
      <c r="E110" s="8" t="str">
        <f>IFERROR(VLOOKUP(TRIM(A110), '혈맹원 정보'!A:C, 3, FALSE), "")</f>
        <v/>
      </c>
      <c r="F110" s="8" t="b">
        <v>0</v>
      </c>
      <c r="Z110" s="33" t="str">
        <f t="array" ref="Z110">IF(A110="","",
IFERROR(
INDEX('혈맹원 정보'!E$2:E1000,
MATCH(A110, '혈맹원 정보'!A$2:A1000, 0)
),
""))</f>
        <v/>
      </c>
    </row>
    <row r="111">
      <c r="A111" s="29"/>
      <c r="B111" s="23" t="b">
        <v>0</v>
      </c>
      <c r="C111" s="30" t="str">
        <f>IF(Z111="","",COUNTIF('건들지말것'!A:A,Z111))</f>
        <v/>
      </c>
      <c r="D111" s="8">
        <f t="shared" si="1"/>
        <v>0</v>
      </c>
      <c r="E111" s="8" t="str">
        <f>IFERROR(VLOOKUP(TRIM(A111), '혈맹원 정보'!A:C, 3, FALSE), "")</f>
        <v/>
      </c>
      <c r="F111" s="8" t="b">
        <v>0</v>
      </c>
      <c r="Z111" s="33" t="str">
        <f t="array" ref="Z111">IF(A111="","",
IFERROR(
INDEX('혈맹원 정보'!E$2:E1000,
MATCH(A111, '혈맹원 정보'!A$2:A1000, 0)
),
""))</f>
        <v/>
      </c>
    </row>
    <row r="112">
      <c r="A112" s="29"/>
      <c r="B112" s="23" t="b">
        <v>0</v>
      </c>
      <c r="C112" s="30" t="str">
        <f>IF(Z112="","",COUNTIF('건들지말것'!A:A,Z112))</f>
        <v/>
      </c>
      <c r="D112" s="8">
        <f t="shared" si="1"/>
        <v>0</v>
      </c>
      <c r="E112" s="8" t="str">
        <f>IFERROR(VLOOKUP(TRIM(A112), '혈맹원 정보'!A:C, 3, FALSE), "")</f>
        <v/>
      </c>
      <c r="F112" s="8" t="b">
        <v>0</v>
      </c>
      <c r="Z112" s="33" t="str">
        <f t="array" ref="Z112">IF(A112="","",
IFERROR(
INDEX('혈맹원 정보'!E$2:E1000,
MATCH(A112, '혈맹원 정보'!A$2:A1000, 0)
),
""))</f>
        <v/>
      </c>
    </row>
    <row r="113">
      <c r="A113" s="29"/>
      <c r="B113" s="23" t="b">
        <v>0</v>
      </c>
      <c r="C113" s="30" t="str">
        <f>IF(Z113="","",COUNTIF('건들지말것'!A:A,Z113))</f>
        <v/>
      </c>
      <c r="D113" s="8">
        <f t="shared" si="1"/>
        <v>0</v>
      </c>
      <c r="E113" s="8" t="str">
        <f>IFERROR(VLOOKUP(TRIM(A113), '혈맹원 정보'!A:C, 3, FALSE), "")</f>
        <v/>
      </c>
      <c r="F113" s="8" t="b">
        <v>0</v>
      </c>
      <c r="Z113" s="33" t="str">
        <f t="array" ref="Z113">IF(A113="","",
IFERROR(
INDEX('혈맹원 정보'!E$2:E1000,
MATCH(A113, '혈맹원 정보'!A$2:A1000, 0)
),
""))</f>
        <v/>
      </c>
    </row>
    <row r="114">
      <c r="A114" s="29"/>
      <c r="B114" s="23" t="b">
        <v>0</v>
      </c>
      <c r="C114" s="30" t="str">
        <f>IF(Z114="","",COUNTIF('건들지말것'!A:A,Z114))</f>
        <v/>
      </c>
      <c r="D114" s="8">
        <f t="shared" si="1"/>
        <v>0</v>
      </c>
      <c r="E114" s="8" t="str">
        <f>IFERROR(VLOOKUP(TRIM(A114), '혈맹원 정보'!A:C, 3, FALSE), "")</f>
        <v/>
      </c>
      <c r="F114" s="8" t="b">
        <v>0</v>
      </c>
      <c r="Z114" s="33" t="str">
        <f t="array" ref="Z114">IF(A114="","",
IFERROR(
INDEX('혈맹원 정보'!E$2:E1000,
MATCH(A114, '혈맹원 정보'!A$2:A1000, 0)
),
""))</f>
        <v/>
      </c>
    </row>
    <row r="115">
      <c r="B115" s="23" t="b">
        <v>0</v>
      </c>
      <c r="C115" s="30" t="str">
        <f>IF(Z115="","",COUNTIF('건들지말것'!A:A,Z115))</f>
        <v/>
      </c>
      <c r="D115" s="8">
        <f t="shared" si="1"/>
        <v>0</v>
      </c>
      <c r="E115" s="8" t="str">
        <f>IFERROR(VLOOKUP(TRIM(A115), '혈맹원 정보'!A:C, 3, FALSE), "")</f>
        <v/>
      </c>
      <c r="F115" s="8" t="b">
        <v>0</v>
      </c>
      <c r="Z115" s="33" t="str">
        <f t="array" ref="Z115">IF(A115="","",
IFERROR(
INDEX('혈맹원 정보'!E$2:E1000,
MATCH(A115, '혈맹원 정보'!A$2:A1000, 0)
),
""))</f>
        <v/>
      </c>
    </row>
    <row r="116">
      <c r="B116" s="23" t="b">
        <v>0</v>
      </c>
      <c r="C116" s="30" t="str">
        <f>IF(Z116="","",COUNTIF('건들지말것'!A:A,Z116))</f>
        <v/>
      </c>
      <c r="D116" s="8">
        <f t="shared" si="1"/>
        <v>0</v>
      </c>
      <c r="E116" s="8" t="str">
        <f>IFERROR(VLOOKUP(TRIM(A116), '혈맹원 정보'!A:C, 3, FALSE), "")</f>
        <v/>
      </c>
      <c r="F116" s="8" t="b">
        <v>0</v>
      </c>
      <c r="Z116" s="33" t="str">
        <f t="array" ref="Z116">IF(A116="","",
IFERROR(
INDEX('혈맹원 정보'!E$2:E1000,
MATCH(A116, '혈맹원 정보'!A$2:A1000, 0)
),
""))</f>
        <v/>
      </c>
    </row>
    <row r="117">
      <c r="B117" s="23" t="b">
        <v>0</v>
      </c>
      <c r="C117" s="30" t="str">
        <f>IF(Z117="","",COUNTIF('건들지말것'!A:A,Z117))</f>
        <v/>
      </c>
      <c r="D117" s="8">
        <f t="shared" si="1"/>
        <v>0</v>
      </c>
      <c r="E117" s="8" t="str">
        <f>IFERROR(VLOOKUP(TRIM(A117), '혈맹원 정보'!A:C, 3, FALSE), "")</f>
        <v/>
      </c>
      <c r="F117" s="8" t="b">
        <v>0</v>
      </c>
      <c r="Z117" s="33" t="str">
        <f t="array" ref="Z117">IF(A117="","",
IFERROR(
INDEX('혈맹원 정보'!E$2:E1000,
MATCH(A117, '혈맹원 정보'!A$2:A1000, 0)
),
""))</f>
        <v/>
      </c>
    </row>
    <row r="118">
      <c r="B118" s="23" t="b">
        <v>0</v>
      </c>
      <c r="C118" s="30" t="str">
        <f>IF(Z118="","",COUNTIF('건들지말것'!A:A,Z118))</f>
        <v/>
      </c>
      <c r="D118" s="8">
        <f t="shared" si="1"/>
        <v>0</v>
      </c>
      <c r="E118" s="8" t="str">
        <f>IFERROR(VLOOKUP(TRIM(A118), '혈맹원 정보'!A:C, 3, FALSE), "")</f>
        <v/>
      </c>
      <c r="F118" s="8" t="b">
        <v>0</v>
      </c>
      <c r="Z118" s="33" t="str">
        <f t="array" ref="Z118">IF(A118="","",
IFERROR(
INDEX('혈맹원 정보'!E$2:E1000,
MATCH(A118, '혈맹원 정보'!A$2:A1000, 0)
),
""))</f>
        <v/>
      </c>
    </row>
    <row r="119">
      <c r="B119" s="23" t="b">
        <v>0</v>
      </c>
      <c r="C119" s="30" t="str">
        <f>IF(Z119="","",COUNTIF('건들지말것'!A:A,Z119))</f>
        <v/>
      </c>
      <c r="D119" s="8">
        <f t="shared" si="1"/>
        <v>0</v>
      </c>
      <c r="E119" s="8" t="str">
        <f>IFERROR(VLOOKUP(TRIM(A119), '혈맹원 정보'!A:C, 3, FALSE), "")</f>
        <v/>
      </c>
      <c r="F119" s="8" t="b">
        <v>0</v>
      </c>
      <c r="Z119" s="33" t="str">
        <f t="array" ref="Z119">IF(A119="","",
IFERROR(
INDEX('혈맹원 정보'!E$2:E1000,
MATCH(A119, '혈맹원 정보'!A$2:A1000, 0)
),
""))</f>
        <v/>
      </c>
    </row>
    <row r="120">
      <c r="B120" s="23" t="b">
        <v>0</v>
      </c>
      <c r="C120" s="30" t="str">
        <f>IF(Z120="","",COUNTIF('건들지말것'!A:A,Z120))</f>
        <v/>
      </c>
      <c r="D120" s="8">
        <f t="shared" si="1"/>
        <v>0</v>
      </c>
      <c r="E120" s="8" t="str">
        <f>IFERROR(VLOOKUP(TRIM(A120), '혈맹원 정보'!A:C, 3, FALSE), "")</f>
        <v/>
      </c>
      <c r="F120" s="8" t="b">
        <v>0</v>
      </c>
      <c r="Z120" s="33" t="str">
        <f t="array" ref="Z120">IF(A120="","",
IFERROR(
INDEX('혈맹원 정보'!E$2:E1000,
MATCH(A120, '혈맹원 정보'!A$2:A1000, 0)
),
""))</f>
        <v/>
      </c>
    </row>
    <row r="121">
      <c r="B121" s="23" t="b">
        <v>0</v>
      </c>
      <c r="C121" s="30" t="str">
        <f>IF(Z121="","",COUNTIF('건들지말것'!A:A,Z121))</f>
        <v/>
      </c>
      <c r="D121" s="8">
        <f t="shared" si="1"/>
        <v>0</v>
      </c>
      <c r="E121" s="8" t="str">
        <f>IFERROR(VLOOKUP(TRIM(A121), '혈맹원 정보'!A:C, 3, FALSE), "")</f>
        <v/>
      </c>
      <c r="F121" s="8" t="b">
        <v>0</v>
      </c>
      <c r="Z121" s="33" t="str">
        <f t="array" ref="Z121">IF(A121="","",
IFERROR(
INDEX('혈맹원 정보'!E$2:E1000,
MATCH(A121, '혈맹원 정보'!A$2:A1000, 0)
),
""))</f>
        <v/>
      </c>
    </row>
    <row r="122">
      <c r="B122" s="23" t="b">
        <v>0</v>
      </c>
      <c r="C122" s="30" t="str">
        <f>IF(Z122="","",COUNTIF('건들지말것'!A:A,Z122))</f>
        <v/>
      </c>
      <c r="D122" s="8">
        <f t="shared" si="1"/>
        <v>0</v>
      </c>
      <c r="E122" s="8" t="str">
        <f>IFERROR(VLOOKUP(TRIM(A122), '혈맹원 정보'!A:C, 3, FALSE), "")</f>
        <v/>
      </c>
      <c r="F122" s="8" t="b">
        <v>0</v>
      </c>
      <c r="Z122" s="33" t="str">
        <f t="array" ref="Z122">IF(A122="","",
IFERROR(
INDEX('혈맹원 정보'!E$2:E1000,
MATCH(A122, '혈맹원 정보'!A$2:A1000, 0)
),
""))</f>
        <v/>
      </c>
    </row>
    <row r="123">
      <c r="B123" s="23" t="b">
        <v>0</v>
      </c>
      <c r="C123" s="30" t="str">
        <f>IF(Z123="","",COUNTIF('건들지말것'!A:A,Z123))</f>
        <v/>
      </c>
      <c r="D123" s="8">
        <f t="shared" si="1"/>
        <v>0</v>
      </c>
      <c r="E123" s="8" t="str">
        <f>IFERROR(VLOOKUP(TRIM(A123), '혈맹원 정보'!A:C, 3, FALSE), "")</f>
        <v/>
      </c>
      <c r="F123" s="8" t="b">
        <v>0</v>
      </c>
      <c r="Z123" s="33" t="str">
        <f t="array" ref="Z123">IF(A123="","",
IFERROR(
INDEX('혈맹원 정보'!E$2:E1000,
MATCH(A123, '혈맹원 정보'!A$2:A1000, 0)
),
""))</f>
        <v/>
      </c>
    </row>
    <row r="124">
      <c r="B124" s="23" t="b">
        <v>0</v>
      </c>
      <c r="C124" s="30" t="str">
        <f>IF(Z124="","",COUNTIF('건들지말것'!A:A,Z124))</f>
        <v/>
      </c>
      <c r="D124" s="8">
        <f t="shared" si="1"/>
        <v>0</v>
      </c>
      <c r="E124" s="8" t="str">
        <f>IFERROR(VLOOKUP(TRIM(A124), '혈맹원 정보'!A:C, 3, FALSE), "")</f>
        <v/>
      </c>
      <c r="F124" s="8" t="b">
        <v>0</v>
      </c>
      <c r="Z124" s="33" t="str">
        <f t="array" ref="Z124">IF(A124="","",
IFERROR(
INDEX('혈맹원 정보'!E$2:E1000,
MATCH(A124, '혈맹원 정보'!A$2:A1000, 0)
),
""))</f>
        <v/>
      </c>
    </row>
    <row r="125">
      <c r="B125" s="23" t="b">
        <v>0</v>
      </c>
      <c r="C125" s="30" t="str">
        <f>IF(Z125="","",COUNTIF('건들지말것'!A:A,Z125))</f>
        <v/>
      </c>
      <c r="D125" s="8">
        <f t="shared" si="1"/>
        <v>0</v>
      </c>
      <c r="E125" s="8" t="str">
        <f>IFERROR(VLOOKUP(TRIM(A125), '혈맹원 정보'!A:C, 3, FALSE), "")</f>
        <v/>
      </c>
      <c r="F125" s="8" t="b">
        <v>0</v>
      </c>
      <c r="Z125" s="33" t="str">
        <f t="array" ref="Z125">IF(A125="","",
IFERROR(
INDEX('혈맹원 정보'!E$2:E1000,
MATCH(A125, '혈맹원 정보'!A$2:A1000, 0)
),
""))</f>
        <v/>
      </c>
    </row>
    <row r="126">
      <c r="B126" s="23" t="b">
        <v>0</v>
      </c>
      <c r="C126" s="30" t="str">
        <f>IF(Z126="","",COUNTIF('건들지말것'!A:A,Z126))</f>
        <v/>
      </c>
      <c r="D126" s="8">
        <f t="shared" si="1"/>
        <v>0</v>
      </c>
      <c r="E126" s="8" t="str">
        <f>IFERROR(VLOOKUP(TRIM(A126), '혈맹원 정보'!A:C, 3, FALSE), "")</f>
        <v/>
      </c>
      <c r="F126" s="8" t="b">
        <v>0</v>
      </c>
      <c r="Z126" s="33" t="str">
        <f t="array" ref="Z126">IF(A126="","",
IFERROR(
INDEX('혈맹원 정보'!E$2:E1000,
MATCH(A126, '혈맹원 정보'!A$2:A1000, 0)
),
""))</f>
        <v/>
      </c>
    </row>
    <row r="127">
      <c r="B127" s="23" t="b">
        <v>0</v>
      </c>
      <c r="C127" s="30" t="str">
        <f>IF(Z127="","",COUNTIF('건들지말것'!A:A,Z127))</f>
        <v/>
      </c>
      <c r="D127" s="8">
        <f t="shared" si="1"/>
        <v>0</v>
      </c>
      <c r="E127" s="8" t="str">
        <f>IFERROR(VLOOKUP(TRIM(A127), '혈맹원 정보'!A:C, 3, FALSE), "")</f>
        <v/>
      </c>
      <c r="F127" s="8" t="b">
        <v>0</v>
      </c>
      <c r="Z127" s="33" t="str">
        <f t="array" ref="Z127">IF(A127="","",
IFERROR(
INDEX('혈맹원 정보'!E$2:E1000,
MATCH(A127, '혈맹원 정보'!A$2:A1000, 0)
),
""))</f>
        <v/>
      </c>
    </row>
    <row r="128">
      <c r="B128" s="23" t="b">
        <v>0</v>
      </c>
      <c r="C128" s="30" t="str">
        <f>IF(Z128="","",COUNTIF('건들지말것'!A:A,Z128))</f>
        <v/>
      </c>
      <c r="D128" s="8">
        <f t="shared" si="1"/>
        <v>0</v>
      </c>
      <c r="E128" s="8" t="str">
        <f>IFERROR(VLOOKUP(TRIM(A128), '혈맹원 정보'!A:C, 3, FALSE), "")</f>
        <v/>
      </c>
      <c r="F128" s="8" t="b">
        <v>0</v>
      </c>
      <c r="Z128" s="33" t="str">
        <f t="array" ref="Z128">IF(A128="","",
IFERROR(
INDEX('혈맹원 정보'!E$2:E1000,
MATCH(A128, '혈맹원 정보'!A$2:A1000, 0)
),
""))</f>
        <v/>
      </c>
    </row>
    <row r="129">
      <c r="B129" s="23" t="b">
        <v>0</v>
      </c>
      <c r="C129" s="30" t="str">
        <f>IF(Z129="","",COUNTIF('건들지말것'!A:A,Z129))</f>
        <v/>
      </c>
      <c r="D129" s="8">
        <f t="shared" si="1"/>
        <v>0</v>
      </c>
      <c r="E129" s="8" t="str">
        <f>IFERROR(VLOOKUP(TRIM(A129), '혈맹원 정보'!A:C, 3, FALSE), "")</f>
        <v/>
      </c>
      <c r="F129" s="8" t="b">
        <v>0</v>
      </c>
      <c r="Z129" s="33" t="str">
        <f t="array" ref="Z129">IF(A129="","",
IFERROR(
INDEX('혈맹원 정보'!E$2:E1000,
MATCH(A129, '혈맹원 정보'!A$2:A1000, 0)
),
""))</f>
        <v/>
      </c>
    </row>
    <row r="130">
      <c r="B130" s="23" t="b">
        <v>0</v>
      </c>
      <c r="C130" s="30" t="str">
        <f>IF(Z130="","",COUNTIF('건들지말것'!A:A,Z130))</f>
        <v/>
      </c>
      <c r="D130" s="8">
        <f t="shared" si="1"/>
        <v>0</v>
      </c>
      <c r="E130" s="8" t="str">
        <f>IFERROR(VLOOKUP(TRIM(A130), '혈맹원 정보'!A:C, 3, FALSE), "")</f>
        <v/>
      </c>
      <c r="F130" s="8" t="b">
        <v>0</v>
      </c>
      <c r="Z130" s="33" t="str">
        <f t="array" ref="Z130">IF(A130="","",
IFERROR(
INDEX('혈맹원 정보'!E$2:E1000,
MATCH(A130, '혈맹원 정보'!A$2:A1000, 0)
),
""))</f>
        <v/>
      </c>
    </row>
    <row r="131">
      <c r="B131" s="23" t="b">
        <v>0</v>
      </c>
      <c r="C131" s="30" t="str">
        <f>IF(Z131="","",COUNTIF('건들지말것'!A:A,Z131))</f>
        <v/>
      </c>
      <c r="D131" s="8">
        <f t="shared" si="1"/>
        <v>0</v>
      </c>
      <c r="E131" s="8" t="str">
        <f>IFERROR(VLOOKUP(TRIM(A131), '혈맹원 정보'!A:C, 3, FALSE), "")</f>
        <v/>
      </c>
      <c r="F131" s="8" t="b">
        <v>0</v>
      </c>
      <c r="Z131" s="33" t="str">
        <f t="array" ref="Z131">IF(A131="","",
IFERROR(
INDEX('혈맹원 정보'!E$2:E1000,
MATCH(A131, '혈맹원 정보'!A$2:A1000, 0)
),
""))</f>
        <v/>
      </c>
    </row>
    <row r="132">
      <c r="B132" s="23" t="b">
        <v>0</v>
      </c>
      <c r="C132" s="30" t="str">
        <f>IF(Z132="","",COUNTIF('건들지말것'!A:A,Z132))</f>
        <v/>
      </c>
      <c r="D132" s="8">
        <f t="shared" si="1"/>
        <v>0</v>
      </c>
      <c r="E132" s="8" t="str">
        <f>IFERROR(VLOOKUP(TRIM(A132), '혈맹원 정보'!A:C, 3, FALSE), "")</f>
        <v/>
      </c>
      <c r="F132" s="8" t="b">
        <v>0</v>
      </c>
      <c r="Z132" s="33" t="str">
        <f t="array" ref="Z132">IF(A132="","",
IFERROR(
INDEX('혈맹원 정보'!E$2:E1000,
MATCH(A132, '혈맹원 정보'!A$2:A1000, 0)
),
""))</f>
        <v/>
      </c>
    </row>
    <row r="133">
      <c r="B133" s="23" t="b">
        <v>0</v>
      </c>
      <c r="C133" s="30" t="str">
        <f>IF(Z133="","",COUNTIF('건들지말것'!A:A,Z133))</f>
        <v/>
      </c>
      <c r="D133" s="8">
        <f t="shared" si="1"/>
        <v>0</v>
      </c>
      <c r="E133" s="8" t="str">
        <f>IFERROR(VLOOKUP(TRIM(A133), '혈맹원 정보'!A:C, 3, FALSE), "")</f>
        <v/>
      </c>
      <c r="F133" s="8" t="b">
        <v>0</v>
      </c>
      <c r="Z133" s="33" t="str">
        <f t="array" ref="Z133">IF(A133="","",
IFERROR(
INDEX('혈맹원 정보'!E$2:E1000,
MATCH(A133, '혈맹원 정보'!A$2:A1000, 0)
),
""))</f>
        <v/>
      </c>
    </row>
    <row r="134">
      <c r="B134" s="23" t="b">
        <v>0</v>
      </c>
      <c r="C134" s="30" t="str">
        <f>IF(Z134="","",COUNTIF('건들지말것'!A:A,Z134))</f>
        <v/>
      </c>
      <c r="D134" s="8">
        <f t="shared" si="1"/>
        <v>0</v>
      </c>
      <c r="E134" s="8" t="str">
        <f>IFERROR(VLOOKUP(TRIM(A134), '혈맹원 정보'!A:C, 3, FALSE), "")</f>
        <v/>
      </c>
      <c r="F134" s="8" t="b">
        <v>0</v>
      </c>
      <c r="Z134" s="33" t="str">
        <f t="array" ref="Z134">IF(A134="","",
IFERROR(
INDEX('혈맹원 정보'!E$2:E1000,
MATCH(A134, '혈맹원 정보'!A$2:A1000, 0)
),
""))</f>
        <v/>
      </c>
    </row>
    <row r="135">
      <c r="B135" s="23" t="b">
        <v>0</v>
      </c>
      <c r="C135" s="30" t="str">
        <f>IF(Z135="","",COUNTIF('건들지말것'!A:A,Z135))</f>
        <v/>
      </c>
      <c r="D135" s="8">
        <f t="shared" si="1"/>
        <v>0</v>
      </c>
      <c r="E135" s="8" t="str">
        <f>IFERROR(VLOOKUP(TRIM(A135), '혈맹원 정보'!A:C, 3, FALSE), "")</f>
        <v/>
      </c>
      <c r="F135" s="8" t="b">
        <v>0</v>
      </c>
      <c r="Z135" s="33" t="str">
        <f t="array" ref="Z135">IF(A135="","",
IFERROR(
INDEX('혈맹원 정보'!E$2:E1000,
MATCH(A135, '혈맹원 정보'!A$2:A1000, 0)
),
""))</f>
        <v/>
      </c>
    </row>
    <row r="136">
      <c r="B136" s="23" t="b">
        <v>0</v>
      </c>
      <c r="C136" s="30" t="str">
        <f>IF(Z136="","",COUNTIF('건들지말것'!A:A,Z136))</f>
        <v/>
      </c>
      <c r="D136" s="8">
        <f t="shared" si="1"/>
        <v>0</v>
      </c>
      <c r="E136" s="8" t="str">
        <f>IFERROR(VLOOKUP(TRIM(A136), '혈맹원 정보'!A:C, 3, FALSE), "")</f>
        <v/>
      </c>
      <c r="F136" s="8" t="b">
        <v>0</v>
      </c>
      <c r="Z136" s="33" t="str">
        <f t="array" ref="Z136">IF(A136="","",
IFERROR(
INDEX('혈맹원 정보'!E$2:E1000,
MATCH(A136, '혈맹원 정보'!A$2:A1000, 0)
),
""))</f>
        <v/>
      </c>
    </row>
    <row r="137">
      <c r="B137" s="23" t="b">
        <v>0</v>
      </c>
      <c r="C137" s="30" t="str">
        <f>IF(Z137="","",COUNTIF('건들지말것'!A:A,Z137))</f>
        <v/>
      </c>
      <c r="D137" s="8">
        <f t="shared" si="1"/>
        <v>0</v>
      </c>
      <c r="E137" s="8" t="str">
        <f>IFERROR(VLOOKUP(TRIM(A137), '혈맹원 정보'!A:C, 3, FALSE), "")</f>
        <v/>
      </c>
      <c r="F137" s="8" t="b">
        <v>0</v>
      </c>
      <c r="Z137" s="33" t="str">
        <f t="array" ref="Z137">IF(A137="","",
IFERROR(
INDEX('혈맹원 정보'!E$2:E1000,
MATCH(A137, '혈맹원 정보'!A$2:A1000, 0)
),
""))</f>
        <v/>
      </c>
    </row>
    <row r="138">
      <c r="B138" s="23" t="b">
        <v>0</v>
      </c>
      <c r="C138" s="30" t="str">
        <f>IF(Z138="","",COUNTIF('건들지말것'!A:A,Z138))</f>
        <v/>
      </c>
      <c r="D138" s="8">
        <f t="shared" si="1"/>
        <v>0</v>
      </c>
      <c r="E138" s="8" t="str">
        <f>IFERROR(VLOOKUP(TRIM(A138), '혈맹원 정보'!A:C, 3, FALSE), "")</f>
        <v/>
      </c>
      <c r="F138" s="8" t="b">
        <v>0</v>
      </c>
      <c r="Z138" s="33" t="str">
        <f t="array" ref="Z138">IF(A138="","",
IFERROR(
INDEX('혈맹원 정보'!E$2:E1000,
MATCH(A138, '혈맹원 정보'!A$2:A1000, 0)
),
""))</f>
        <v/>
      </c>
    </row>
    <row r="139">
      <c r="B139" s="23" t="b">
        <v>0</v>
      </c>
      <c r="C139" s="30" t="str">
        <f>IF(Z139="","",COUNTIF('건들지말것'!A:A,Z139))</f>
        <v/>
      </c>
      <c r="D139" s="8">
        <f t="shared" si="1"/>
        <v>0</v>
      </c>
      <c r="E139" s="8" t="str">
        <f>IFERROR(VLOOKUP(TRIM(A139), '혈맹원 정보'!A:C, 3, FALSE), "")</f>
        <v/>
      </c>
      <c r="F139" s="8" t="b">
        <v>0</v>
      </c>
      <c r="Z139" s="33" t="str">
        <f t="array" ref="Z139">IF(A139="","",
IFERROR(
INDEX('혈맹원 정보'!E$2:E1000,
MATCH(A139, '혈맹원 정보'!A$2:A1000, 0)
),
""))</f>
        <v/>
      </c>
    </row>
    <row r="140">
      <c r="B140" s="23" t="b">
        <v>0</v>
      </c>
      <c r="C140" s="30" t="str">
        <f>IF(Z140="","",COUNTIF('건들지말것'!A:A,Z140))</f>
        <v/>
      </c>
      <c r="D140" s="8">
        <f t="shared" si="1"/>
        <v>0</v>
      </c>
      <c r="E140" s="8" t="str">
        <f>IFERROR(VLOOKUP(TRIM(A140), '혈맹원 정보'!A:C, 3, FALSE), "")</f>
        <v/>
      </c>
      <c r="F140" s="8" t="b">
        <v>0</v>
      </c>
      <c r="Z140" s="33" t="str">
        <f t="array" ref="Z140">IF(A140="","",
IFERROR(
INDEX('혈맹원 정보'!E$2:E1000,
MATCH(A140, '혈맹원 정보'!A$2:A1000, 0)
),
""))</f>
        <v/>
      </c>
    </row>
    <row r="141">
      <c r="B141" s="23" t="b">
        <v>0</v>
      </c>
      <c r="C141" s="30" t="str">
        <f>IF(Z141="","",COUNTIF('건들지말것'!A:A,Z141))</f>
        <v/>
      </c>
      <c r="D141" s="8">
        <f t="shared" si="1"/>
        <v>0</v>
      </c>
      <c r="E141" s="8" t="str">
        <f>IFERROR(VLOOKUP(TRIM(A141), '혈맹원 정보'!A:C, 3, FALSE), "")</f>
        <v/>
      </c>
      <c r="F141" s="8" t="b">
        <v>0</v>
      </c>
      <c r="Z141" s="33" t="str">
        <f t="array" ref="Z141">IF(A141="","",
IFERROR(
INDEX('혈맹원 정보'!E$2:E1000,
MATCH(A141, '혈맹원 정보'!A$2:A1000, 0)
),
""))</f>
        <v/>
      </c>
    </row>
    <row r="142">
      <c r="B142" s="23" t="b">
        <v>0</v>
      </c>
      <c r="C142" s="30" t="str">
        <f>IF(Z142="","",COUNTIF('건들지말것'!A:A,Z142))</f>
        <v/>
      </c>
      <c r="D142" s="8">
        <f t="shared" si="1"/>
        <v>0</v>
      </c>
      <c r="E142" s="8" t="str">
        <f>IFERROR(VLOOKUP(TRIM(A142), '혈맹원 정보'!A:C, 3, FALSE), "")</f>
        <v/>
      </c>
      <c r="F142" s="8" t="b">
        <v>0</v>
      </c>
      <c r="Z142" s="33" t="str">
        <f t="array" ref="Z142">IF(A142="","",
IFERROR(
INDEX('혈맹원 정보'!E$2:E1000,
MATCH(A142, '혈맹원 정보'!A$2:A1000, 0)
),
""))</f>
        <v/>
      </c>
    </row>
    <row r="143">
      <c r="B143" s="23" t="b">
        <v>0</v>
      </c>
      <c r="C143" s="30" t="str">
        <f>IF(Z143="","",COUNTIF('건들지말것'!A:A,Z143))</f>
        <v/>
      </c>
      <c r="D143" s="8">
        <f t="shared" si="1"/>
        <v>0</v>
      </c>
      <c r="E143" s="8" t="str">
        <f>IFERROR(VLOOKUP(TRIM(A143), '혈맹원 정보'!A:C, 3, FALSE), "")</f>
        <v/>
      </c>
      <c r="F143" s="8" t="b">
        <v>0</v>
      </c>
      <c r="Z143" s="33" t="str">
        <f t="array" ref="Z143">IF(A143="","",
IFERROR(
INDEX('혈맹원 정보'!E$2:E1000,
MATCH(A143, '혈맹원 정보'!A$2:A1000, 0)
),
""))</f>
        <v/>
      </c>
    </row>
    <row r="144">
      <c r="B144" s="23" t="b">
        <v>0</v>
      </c>
      <c r="C144" s="30" t="str">
        <f>IF(Z144="","",COUNTIF('건들지말것'!A:A,Z144))</f>
        <v/>
      </c>
      <c r="D144" s="8">
        <f t="shared" si="1"/>
        <v>0</v>
      </c>
      <c r="E144" s="8" t="str">
        <f>IFERROR(VLOOKUP(TRIM(A144), '혈맹원 정보'!A:C, 3, FALSE), "")</f>
        <v/>
      </c>
      <c r="F144" s="8" t="b">
        <v>0</v>
      </c>
      <c r="Z144" s="33" t="str">
        <f t="array" ref="Z144">IF(A144="","",
IFERROR(
INDEX('혈맹원 정보'!E$2:E1000,
MATCH(A144, '혈맹원 정보'!A$2:A1000, 0)
),
""))</f>
        <v/>
      </c>
    </row>
    <row r="145">
      <c r="B145" s="23" t="b">
        <v>0</v>
      </c>
      <c r="C145" s="30" t="str">
        <f>IF(Z145="","",COUNTIF('건들지말것'!A:A,Z145))</f>
        <v/>
      </c>
      <c r="D145" s="8">
        <f t="shared" si="1"/>
        <v>0</v>
      </c>
      <c r="E145" s="8" t="str">
        <f>IFERROR(VLOOKUP(TRIM(A145), '혈맹원 정보'!A:C, 3, FALSE), "")</f>
        <v/>
      </c>
      <c r="F145" s="8" t="b">
        <v>0</v>
      </c>
      <c r="Z145" s="33" t="str">
        <f t="array" ref="Z145">IF(A145="","",
IFERROR(
INDEX('혈맹원 정보'!E$2:E1000,
MATCH(A145, '혈맹원 정보'!A$2:A1000, 0)
),
""))</f>
        <v/>
      </c>
    </row>
    <row r="146">
      <c r="B146" s="23" t="b">
        <v>0</v>
      </c>
      <c r="C146" s="30" t="str">
        <f>IF(Z146="","",COUNTIF('건들지말것'!A:A,Z146))</f>
        <v/>
      </c>
      <c r="D146" s="8">
        <f t="shared" si="1"/>
        <v>0</v>
      </c>
      <c r="E146" s="8" t="str">
        <f>IFERROR(VLOOKUP(TRIM(A146), '혈맹원 정보'!A:C, 3, FALSE), "")</f>
        <v/>
      </c>
      <c r="F146" s="8" t="b">
        <v>0</v>
      </c>
      <c r="Z146" s="33" t="str">
        <f t="array" ref="Z146">IF(A146="","",
IFERROR(
INDEX('혈맹원 정보'!E$2:E1000,
MATCH(A146, '혈맹원 정보'!A$2:A1000, 0)
),
""))</f>
        <v/>
      </c>
    </row>
    <row r="147">
      <c r="B147" s="23" t="b">
        <v>0</v>
      </c>
      <c r="C147" s="30" t="str">
        <f>IF(Z147="","",COUNTIF('건들지말것'!A:A,Z147))</f>
        <v/>
      </c>
      <c r="D147" s="8">
        <f t="shared" si="1"/>
        <v>0</v>
      </c>
      <c r="E147" s="8" t="str">
        <f>IFERROR(VLOOKUP(TRIM(A147), '혈맹원 정보'!A:C, 3, FALSE), "")</f>
        <v/>
      </c>
      <c r="F147" s="8" t="b">
        <v>0</v>
      </c>
      <c r="Z147" s="33" t="str">
        <f t="array" ref="Z147">IF(A147="","",
IFERROR(
INDEX('혈맹원 정보'!E$2:E1000,
MATCH(A147, '혈맹원 정보'!A$2:A1000, 0)
),
""))</f>
        <v/>
      </c>
    </row>
    <row r="148">
      <c r="B148" s="23" t="b">
        <v>0</v>
      </c>
      <c r="C148" s="30" t="str">
        <f>IF(Z148="","",COUNTIF('건들지말것'!A:A,Z148))</f>
        <v/>
      </c>
      <c r="D148" s="8">
        <f t="shared" si="1"/>
        <v>0</v>
      </c>
      <c r="E148" s="8" t="str">
        <f>IFERROR(VLOOKUP(TRIM(A148), '혈맹원 정보'!A:C, 3, FALSE), "")</f>
        <v/>
      </c>
      <c r="F148" s="8" t="b">
        <v>0</v>
      </c>
      <c r="Z148" s="33" t="str">
        <f t="array" ref="Z148">IF(A148="","",
IFERROR(
INDEX('혈맹원 정보'!E$2:E1000,
MATCH(A148, '혈맹원 정보'!A$2:A1000, 0)
),
""))</f>
        <v/>
      </c>
    </row>
    <row r="149">
      <c r="B149" s="23" t="b">
        <v>0</v>
      </c>
      <c r="C149" s="30" t="str">
        <f>IF(Z149="","",COUNTIF('건들지말것'!A:A,Z149))</f>
        <v/>
      </c>
      <c r="D149" s="8">
        <f t="shared" si="1"/>
        <v>0</v>
      </c>
      <c r="E149" s="8" t="str">
        <f>IFERROR(VLOOKUP(TRIM(A149), '혈맹원 정보'!A:C, 3, FALSE), "")</f>
        <v/>
      </c>
      <c r="F149" s="8" t="b">
        <v>0</v>
      </c>
      <c r="Z149" s="33" t="str">
        <f t="array" ref="Z149">IF(A149="","",
IFERROR(
INDEX('혈맹원 정보'!E$2:E1000,
MATCH(A149, '혈맹원 정보'!A$2:A1000, 0)
),
""))</f>
        <v/>
      </c>
    </row>
    <row r="150">
      <c r="B150" s="23" t="b">
        <v>0</v>
      </c>
      <c r="C150" s="30" t="str">
        <f>IF(Z150="","",COUNTIF('건들지말것'!A:A,Z150))</f>
        <v/>
      </c>
      <c r="D150" s="8">
        <f t="shared" si="1"/>
        <v>0</v>
      </c>
      <c r="E150" s="8" t="str">
        <f>IFERROR(VLOOKUP(TRIM(A150), '혈맹원 정보'!A:C, 3, FALSE), "")</f>
        <v/>
      </c>
      <c r="F150" s="8" t="b">
        <v>0</v>
      </c>
      <c r="Z150" s="33" t="str">
        <f t="array" ref="Z150">IF(A150="","",
IFERROR(
INDEX('혈맹원 정보'!E$2:E1000,
MATCH(A150, '혈맹원 정보'!A$2:A1000, 0)
),
""))</f>
        <v/>
      </c>
    </row>
    <row r="151">
      <c r="B151" s="23" t="b">
        <v>0</v>
      </c>
      <c r="C151" s="30" t="str">
        <f>IF(Z151="","",COUNTIF('건들지말것'!A:A,Z151))</f>
        <v/>
      </c>
      <c r="D151" s="8">
        <f t="shared" si="1"/>
        <v>0</v>
      </c>
      <c r="E151" s="8" t="str">
        <f>IFERROR(VLOOKUP(TRIM(A151), '혈맹원 정보'!A:C, 3, FALSE), "")</f>
        <v/>
      </c>
      <c r="F151" s="8" t="b">
        <v>0</v>
      </c>
      <c r="Z151" s="33" t="str">
        <f t="array" ref="Z151">IF(A151="","",
IFERROR(
INDEX('혈맹원 정보'!E$2:E1000,
MATCH(A151, '혈맹원 정보'!A$2:A1000, 0)
),
""))</f>
        <v/>
      </c>
    </row>
    <row r="152">
      <c r="B152" s="23" t="b">
        <v>0</v>
      </c>
      <c r="C152" s="30" t="str">
        <f>IF(Z152="","",COUNTIF('건들지말것'!A:A,Z152))</f>
        <v/>
      </c>
      <c r="D152" s="8">
        <f t="shared" si="1"/>
        <v>0</v>
      </c>
      <c r="E152" s="8" t="str">
        <f>IFERROR(VLOOKUP(TRIM(A152), '혈맹원 정보'!A:C, 3, FALSE), "")</f>
        <v/>
      </c>
      <c r="F152" s="8" t="b">
        <v>0</v>
      </c>
      <c r="Z152" s="33" t="str">
        <f t="array" ref="Z152">IF(A152="","",
IFERROR(
INDEX('혈맹원 정보'!E$2:E1000,
MATCH(A152, '혈맹원 정보'!A$2:A1000, 0)
),
""))</f>
        <v/>
      </c>
    </row>
    <row r="153">
      <c r="B153" s="23" t="b">
        <v>0</v>
      </c>
      <c r="C153" s="30" t="str">
        <f>IF(Z153="","",COUNTIF('건들지말것'!A:A,Z153))</f>
        <v/>
      </c>
      <c r="D153" s="8">
        <f t="shared" si="1"/>
        <v>0</v>
      </c>
      <c r="E153" s="8" t="str">
        <f>IFERROR(VLOOKUP(TRIM(A153), '혈맹원 정보'!A:C, 3, FALSE), "")</f>
        <v/>
      </c>
      <c r="F153" s="8" t="b">
        <v>0</v>
      </c>
      <c r="Z153" s="33" t="str">
        <f t="array" ref="Z153">IF(A153="","",
IFERROR(
INDEX('혈맹원 정보'!E$2:E1000,
MATCH(A153, '혈맹원 정보'!A$2:A1000, 0)
),
""))</f>
        <v/>
      </c>
    </row>
    <row r="154">
      <c r="B154" s="23" t="b">
        <v>0</v>
      </c>
      <c r="C154" s="30" t="str">
        <f>IF(Z154="","",COUNTIF('건들지말것'!A:A,Z154))</f>
        <v/>
      </c>
      <c r="D154" s="8">
        <f t="shared" si="1"/>
        <v>0</v>
      </c>
      <c r="E154" s="8" t="str">
        <f>IFERROR(VLOOKUP(TRIM(A154), '혈맹원 정보'!A:C, 3, FALSE), "")</f>
        <v/>
      </c>
      <c r="F154" s="8" t="b">
        <v>0</v>
      </c>
      <c r="Z154" s="33" t="str">
        <f t="array" ref="Z154">IF(A154="","",
IFERROR(
INDEX('혈맹원 정보'!E$2:E1000,
MATCH(A154, '혈맹원 정보'!A$2:A1000, 0)
),
""))</f>
        <v/>
      </c>
    </row>
    <row r="155">
      <c r="B155" s="23" t="b">
        <v>0</v>
      </c>
      <c r="C155" s="30" t="str">
        <f>IF(Z155="","",COUNTIF('건들지말것'!A:A,Z155))</f>
        <v/>
      </c>
      <c r="D155" s="8">
        <f t="shared" si="1"/>
        <v>0</v>
      </c>
      <c r="E155" s="8" t="str">
        <f>IFERROR(VLOOKUP(TRIM(A155), '혈맹원 정보'!A:C, 3, FALSE), "")</f>
        <v/>
      </c>
      <c r="F155" s="8" t="b">
        <v>0</v>
      </c>
      <c r="Z155" s="33" t="str">
        <f t="array" ref="Z155">IF(A155="","",
IFERROR(
INDEX('혈맹원 정보'!E$2:E1000,
MATCH(A155, '혈맹원 정보'!A$2:A1000, 0)
),
""))</f>
        <v/>
      </c>
    </row>
    <row r="156">
      <c r="B156" s="23" t="b">
        <v>0</v>
      </c>
      <c r="C156" s="30" t="str">
        <f>IF(Z156="","",COUNTIF('건들지말것'!A:A,Z156))</f>
        <v/>
      </c>
      <c r="D156" s="8">
        <f t="shared" si="1"/>
        <v>0</v>
      </c>
      <c r="E156" s="8" t="str">
        <f>IFERROR(VLOOKUP(TRIM(A156), '혈맹원 정보'!A:C, 3, FALSE), "")</f>
        <v/>
      </c>
      <c r="F156" s="8" t="b">
        <v>0</v>
      </c>
      <c r="Z156" s="33" t="str">
        <f t="array" ref="Z156">IF(A156="","",
IFERROR(
INDEX('혈맹원 정보'!E$2:E1000,
MATCH(A156, '혈맹원 정보'!A$2:A1000, 0)
),
""))</f>
        <v/>
      </c>
    </row>
    <row r="157">
      <c r="B157" s="23" t="b">
        <v>0</v>
      </c>
      <c r="C157" s="30" t="str">
        <f>IF(Z157="","",COUNTIF('건들지말것'!A:A,Z157))</f>
        <v/>
      </c>
      <c r="D157" s="8">
        <f t="shared" si="1"/>
        <v>0</v>
      </c>
      <c r="E157" s="8" t="str">
        <f>IFERROR(VLOOKUP(TRIM(A157), '혈맹원 정보'!A:C, 3, FALSE), "")</f>
        <v/>
      </c>
      <c r="F157" s="8" t="b">
        <v>0</v>
      </c>
      <c r="Z157" s="33" t="str">
        <f t="array" ref="Z157">IF(A157="","",
IFERROR(
INDEX('혈맹원 정보'!E$2:E1000,
MATCH(A157, '혈맹원 정보'!A$2:A1000, 0)
),
""))</f>
        <v/>
      </c>
    </row>
    <row r="158">
      <c r="B158" s="23" t="b">
        <v>0</v>
      </c>
      <c r="C158" s="30" t="str">
        <f>IF(Z158="","",COUNTIF('건들지말것'!A:A,Z158))</f>
        <v/>
      </c>
      <c r="D158" s="8">
        <f t="shared" si="1"/>
        <v>0</v>
      </c>
      <c r="E158" s="8" t="str">
        <f>IFERROR(VLOOKUP(TRIM(A158), '혈맹원 정보'!A:C, 3, FALSE), "")</f>
        <v/>
      </c>
      <c r="F158" s="8" t="b">
        <v>0</v>
      </c>
      <c r="Z158" s="33" t="str">
        <f t="array" ref="Z158">IF(A158="","",
IFERROR(
INDEX('혈맹원 정보'!E$2:E1000,
MATCH(A158, '혈맹원 정보'!A$2:A1000, 0)
),
""))</f>
        <v/>
      </c>
    </row>
    <row r="159">
      <c r="B159" s="23" t="b">
        <v>0</v>
      </c>
      <c r="C159" s="30" t="str">
        <f>IF(Z159="","",COUNTIF('건들지말것'!A:A,Z159))</f>
        <v/>
      </c>
      <c r="D159" s="8">
        <f t="shared" si="1"/>
        <v>0</v>
      </c>
      <c r="E159" s="8" t="str">
        <f>IFERROR(VLOOKUP(TRIM(A159), '혈맹원 정보'!A:C, 3, FALSE), "")</f>
        <v/>
      </c>
      <c r="F159" s="8" t="b">
        <v>0</v>
      </c>
      <c r="Z159" s="33" t="str">
        <f t="array" ref="Z159">IF(A159="","",
IFERROR(
INDEX('혈맹원 정보'!E$2:E1000,
MATCH(A159, '혈맹원 정보'!A$2:A1000, 0)
),
""))</f>
        <v/>
      </c>
    </row>
    <row r="160">
      <c r="B160" s="23" t="b">
        <v>0</v>
      </c>
      <c r="C160" s="30" t="str">
        <f>IF(Z160="","",COUNTIF('건들지말것'!A:A,Z160))</f>
        <v/>
      </c>
      <c r="D160" s="8">
        <f t="shared" si="1"/>
        <v>0</v>
      </c>
      <c r="E160" s="8" t="str">
        <f>IFERROR(VLOOKUP(TRIM(A160), '혈맹원 정보'!A:C, 3, FALSE), "")</f>
        <v/>
      </c>
      <c r="F160" s="8" t="b">
        <v>0</v>
      </c>
      <c r="Z160" s="33" t="str">
        <f t="array" ref="Z160">IF(A160="","",
IFERROR(
INDEX('혈맹원 정보'!E$2:E1000,
MATCH(A160, '혈맹원 정보'!A$2:A1000, 0)
),
""))</f>
        <v/>
      </c>
    </row>
    <row r="161">
      <c r="B161" s="23" t="b">
        <v>0</v>
      </c>
      <c r="C161" s="30" t="str">
        <f>IF(Z161="","",COUNTIF('건들지말것'!A:A,Z161))</f>
        <v/>
      </c>
      <c r="D161" s="8">
        <f t="shared" si="1"/>
        <v>0</v>
      </c>
      <c r="E161" s="8" t="str">
        <f>IFERROR(VLOOKUP(TRIM(A161), '혈맹원 정보'!A:C, 3, FALSE), "")</f>
        <v/>
      </c>
      <c r="F161" s="8" t="b">
        <v>0</v>
      </c>
      <c r="Z161" s="33" t="str">
        <f t="array" ref="Z161">IF(A161="","",
IFERROR(
INDEX('혈맹원 정보'!E$2:E1000,
MATCH(A161, '혈맹원 정보'!A$2:A1000, 0)
),
""))</f>
        <v/>
      </c>
    </row>
    <row r="162">
      <c r="B162" s="23" t="b">
        <v>0</v>
      </c>
      <c r="C162" s="30" t="str">
        <f>IF(Z162="","",COUNTIF('건들지말것'!A:A,Z162))</f>
        <v/>
      </c>
      <c r="D162" s="8">
        <f t="shared" si="1"/>
        <v>0</v>
      </c>
      <c r="E162" s="8" t="str">
        <f>IFERROR(VLOOKUP(TRIM(A162), '혈맹원 정보'!A:C, 3, FALSE), "")</f>
        <v/>
      </c>
      <c r="F162" s="8" t="b">
        <v>0</v>
      </c>
      <c r="Z162" s="33" t="str">
        <f t="array" ref="Z162">IF(A162="","",
IFERROR(
INDEX('혈맹원 정보'!E$2:E1000,
MATCH(A162, '혈맹원 정보'!A$2:A1000, 0)
),
""))</f>
        <v/>
      </c>
    </row>
    <row r="163">
      <c r="B163" s="23" t="b">
        <v>0</v>
      </c>
      <c r="C163" s="30" t="str">
        <f>IF(Z163="","",COUNTIF('건들지말것'!A:A,Z163))</f>
        <v/>
      </c>
      <c r="D163" s="8">
        <f t="shared" si="1"/>
        <v>0</v>
      </c>
      <c r="E163" s="8" t="str">
        <f>IFERROR(VLOOKUP(TRIM(A163), '혈맹원 정보'!A:C, 3, FALSE), "")</f>
        <v/>
      </c>
      <c r="F163" s="8" t="b">
        <v>0</v>
      </c>
      <c r="Z163" s="33" t="str">
        <f t="array" ref="Z163">IF(A163="","",
IFERROR(
INDEX('혈맹원 정보'!E$2:E1000,
MATCH(A163, '혈맹원 정보'!A$2:A1000, 0)
),
""))</f>
        <v/>
      </c>
    </row>
    <row r="164">
      <c r="B164" s="23" t="b">
        <v>0</v>
      </c>
      <c r="C164" s="30" t="str">
        <f>IF(Z164="","",COUNTIF('건들지말것'!A:A,Z164))</f>
        <v/>
      </c>
      <c r="D164" s="8">
        <f t="shared" si="1"/>
        <v>0</v>
      </c>
      <c r="E164" s="8" t="str">
        <f>IFERROR(VLOOKUP(TRIM(A164), '혈맹원 정보'!A:C, 3, FALSE), "")</f>
        <v/>
      </c>
      <c r="F164" s="8" t="b">
        <v>0</v>
      </c>
      <c r="Z164" s="33" t="str">
        <f t="array" ref="Z164">IF(A164="","",
IFERROR(
INDEX('혈맹원 정보'!E$2:E1000,
MATCH(A164, '혈맹원 정보'!A$2:A1000, 0)
),
""))</f>
        <v/>
      </c>
    </row>
    <row r="165">
      <c r="B165" s="23" t="b">
        <v>0</v>
      </c>
      <c r="C165" s="30" t="str">
        <f>IF(Z165="","",COUNTIF('건들지말것'!A:A,Z165))</f>
        <v/>
      </c>
      <c r="D165" s="8">
        <f t="shared" si="1"/>
        <v>0</v>
      </c>
      <c r="E165" s="8" t="str">
        <f>IFERROR(VLOOKUP(TRIM(A165), '혈맹원 정보'!A:C, 3, FALSE), "")</f>
        <v/>
      </c>
      <c r="F165" s="8" t="b">
        <v>0</v>
      </c>
      <c r="Z165" s="33" t="str">
        <f t="array" ref="Z165">IF(A165="","",
IFERROR(
INDEX('혈맹원 정보'!E$2:E1000,
MATCH(A165, '혈맹원 정보'!A$2:A1000, 0)
),
""))</f>
        <v/>
      </c>
    </row>
    <row r="166">
      <c r="B166" s="23" t="b">
        <v>0</v>
      </c>
      <c r="C166" s="30" t="str">
        <f>IF(Z166="","",COUNTIF('건들지말것'!A:A,Z166))</f>
        <v/>
      </c>
      <c r="D166" s="8">
        <f t="shared" si="1"/>
        <v>0</v>
      </c>
      <c r="E166" s="8" t="str">
        <f>IFERROR(VLOOKUP(TRIM(A166), '혈맹원 정보'!A:C, 3, FALSE), "")</f>
        <v/>
      </c>
      <c r="F166" s="8" t="b">
        <v>0</v>
      </c>
      <c r="Z166" s="33" t="str">
        <f t="array" ref="Z166">IF(A166="","",
IFERROR(
INDEX('혈맹원 정보'!E$2:E1000,
MATCH(A166, '혈맹원 정보'!A$2:A1000, 0)
),
""))</f>
        <v/>
      </c>
    </row>
    <row r="167">
      <c r="B167" s="23" t="b">
        <v>0</v>
      </c>
      <c r="C167" s="30" t="str">
        <f>IF(Z167="","",COUNTIF('건들지말것'!A:A,Z167))</f>
        <v/>
      </c>
      <c r="D167" s="8">
        <f t="shared" si="1"/>
        <v>0</v>
      </c>
      <c r="E167" s="8" t="str">
        <f>IFERROR(VLOOKUP(TRIM(A167), '혈맹원 정보'!A:C, 3, FALSE), "")</f>
        <v/>
      </c>
      <c r="F167" s="8" t="b">
        <v>0</v>
      </c>
      <c r="Z167" s="33" t="str">
        <f t="array" ref="Z167">IF(A167="","",
IFERROR(
INDEX('혈맹원 정보'!E$2:E1000,
MATCH(A167, '혈맹원 정보'!A$2:A1000, 0)
),
""))</f>
        <v/>
      </c>
    </row>
    <row r="168">
      <c r="B168" s="23" t="b">
        <v>0</v>
      </c>
      <c r="C168" s="30" t="str">
        <f>IF(Z168="","",COUNTIF('건들지말것'!A:A,Z168))</f>
        <v/>
      </c>
      <c r="D168" s="8">
        <f t="shared" si="1"/>
        <v>0</v>
      </c>
      <c r="E168" s="8" t="str">
        <f>IFERROR(VLOOKUP(TRIM(A168), '혈맹원 정보'!A:C, 3, FALSE), "")</f>
        <v/>
      </c>
      <c r="F168" s="8" t="b">
        <v>0</v>
      </c>
      <c r="Z168" s="33" t="str">
        <f t="array" ref="Z168">IF(A168="","",
IFERROR(
INDEX('혈맹원 정보'!E$2:E1000,
MATCH(A168, '혈맹원 정보'!A$2:A1000, 0)
),
""))</f>
        <v/>
      </c>
    </row>
    <row r="169">
      <c r="B169" s="23" t="b">
        <v>0</v>
      </c>
      <c r="C169" s="30" t="str">
        <f>IF(Z169="","",COUNTIF('건들지말것'!A:A,Z169))</f>
        <v/>
      </c>
      <c r="D169" s="8">
        <f t="shared" si="1"/>
        <v>0</v>
      </c>
      <c r="E169" s="8" t="str">
        <f>IFERROR(VLOOKUP(TRIM(A169), '혈맹원 정보'!A:C, 3, FALSE), "")</f>
        <v/>
      </c>
      <c r="F169" s="8" t="b">
        <v>0</v>
      </c>
      <c r="Z169" s="33" t="str">
        <f t="array" ref="Z169">IF(A169="","",
IFERROR(
INDEX('혈맹원 정보'!E$2:E1000,
MATCH(A169, '혈맹원 정보'!A$2:A1000, 0)
),
""))</f>
        <v/>
      </c>
    </row>
    <row r="170">
      <c r="B170" s="23" t="b">
        <v>0</v>
      </c>
      <c r="C170" s="30" t="str">
        <f>IF(Z170="","",COUNTIF('건들지말것'!A:A,Z170))</f>
        <v/>
      </c>
      <c r="D170" s="8">
        <f t="shared" si="1"/>
        <v>0</v>
      </c>
      <c r="E170" s="8" t="str">
        <f>IFERROR(VLOOKUP(TRIM(A170), '혈맹원 정보'!A:C, 3, FALSE), "")</f>
        <v/>
      </c>
      <c r="F170" s="8" t="b">
        <v>0</v>
      </c>
      <c r="Z170" s="33" t="str">
        <f t="array" ref="Z170">IF(A170="","",
IFERROR(
INDEX('혈맹원 정보'!E$2:E1000,
MATCH(A170, '혈맹원 정보'!A$2:A1000, 0)
),
""))</f>
        <v/>
      </c>
    </row>
    <row r="171">
      <c r="B171" s="23" t="b">
        <v>0</v>
      </c>
      <c r="C171" s="30" t="str">
        <f>IF(Z171="","",COUNTIF('건들지말것'!A:A,Z171))</f>
        <v/>
      </c>
      <c r="D171" s="8">
        <f t="shared" si="1"/>
        <v>0</v>
      </c>
      <c r="E171" s="8" t="str">
        <f>IFERROR(VLOOKUP(TRIM(A171), '혈맹원 정보'!A:C, 3, FALSE), "")</f>
        <v/>
      </c>
      <c r="F171" s="8" t="b">
        <v>0</v>
      </c>
      <c r="Z171" s="33" t="str">
        <f t="array" ref="Z171">IF(A171="","",
IFERROR(
INDEX('혈맹원 정보'!E$2:E1000,
MATCH(A171, '혈맹원 정보'!A$2:A1000, 0)
),
""))</f>
        <v/>
      </c>
    </row>
    <row r="172">
      <c r="B172" s="23" t="b">
        <v>0</v>
      </c>
      <c r="C172" s="30" t="str">
        <f>IF(Z172="","",COUNTIF('건들지말것'!A:A,Z172))</f>
        <v/>
      </c>
      <c r="D172" s="8">
        <f t="shared" si="1"/>
        <v>0</v>
      </c>
      <c r="E172" s="8" t="str">
        <f>IFERROR(VLOOKUP(TRIM(A172), '혈맹원 정보'!A:C, 3, FALSE), "")</f>
        <v/>
      </c>
      <c r="F172" s="8" t="b">
        <v>0</v>
      </c>
      <c r="Z172" s="33" t="str">
        <f t="array" ref="Z172">IF(A172="","",
IFERROR(
INDEX('혈맹원 정보'!E$2:E1000,
MATCH(A172, '혈맹원 정보'!A$2:A1000, 0)
),
""))</f>
        <v/>
      </c>
    </row>
    <row r="173">
      <c r="B173" s="23" t="b">
        <v>0</v>
      </c>
      <c r="C173" s="30" t="str">
        <f>IF(Z173="","",COUNTIF('건들지말것'!A:A,Z173))</f>
        <v/>
      </c>
      <c r="D173" s="8">
        <f t="shared" si="1"/>
        <v>0</v>
      </c>
      <c r="E173" s="8" t="str">
        <f>IFERROR(VLOOKUP(TRIM(A173), '혈맹원 정보'!A:C, 3, FALSE), "")</f>
        <v/>
      </c>
      <c r="F173" s="8" t="b">
        <v>0</v>
      </c>
      <c r="Z173" s="33" t="str">
        <f t="array" ref="Z173">IF(A173="","",
IFERROR(
INDEX('혈맹원 정보'!E$2:E1000,
MATCH(A173, '혈맹원 정보'!A$2:A1000, 0)
),
""))</f>
        <v/>
      </c>
    </row>
    <row r="174">
      <c r="B174" s="23" t="b">
        <v>0</v>
      </c>
      <c r="C174" s="30" t="str">
        <f>IF(Z174="","",COUNTIF('건들지말것'!A:A,Z174))</f>
        <v/>
      </c>
      <c r="D174" s="8">
        <f t="shared" si="1"/>
        <v>0</v>
      </c>
      <c r="E174" s="8" t="str">
        <f>IFERROR(VLOOKUP(TRIM(A174), '혈맹원 정보'!A:C, 3, FALSE), "")</f>
        <v/>
      </c>
      <c r="F174" s="8" t="b">
        <v>0</v>
      </c>
      <c r="Z174" s="33" t="str">
        <f t="array" ref="Z174">IF(A174="","",
IFERROR(
INDEX('혈맹원 정보'!E$2:E1000,
MATCH(A174, '혈맹원 정보'!A$2:A1000, 0)
),
""))</f>
        <v/>
      </c>
    </row>
    <row r="175">
      <c r="B175" s="23" t="b">
        <v>0</v>
      </c>
      <c r="C175" s="18" t="str">
        <f>IF(Z175="","",COUNTIF('건들지말것'!A:A,Z175))</f>
        <v/>
      </c>
      <c r="F175" s="8" t="b">
        <v>0</v>
      </c>
      <c r="Z175" s="33" t="str">
        <f t="array" ref="Z175">IF(A175="","",
IFERROR(
INDEX('혈맹원 정보'!E$2:E1000,
MATCH(A175, '혈맹원 정보'!A$2:A1000, 0)
),
""))</f>
        <v/>
      </c>
    </row>
    <row r="176">
      <c r="B176" s="23" t="b">
        <v>0</v>
      </c>
      <c r="C176" s="18" t="str">
        <f>IF(Z176="","",COUNTIF('건들지말것'!A:A,Z176))</f>
        <v/>
      </c>
      <c r="F176" s="8" t="b">
        <v>0</v>
      </c>
      <c r="Z176" s="33" t="str">
        <f t="array" ref="Z176">IF(A176="","",
IFERROR(
INDEX('혈맹원 정보'!E$2:E1000,
MATCH(A176, '혈맹원 정보'!A$2:A1000, 0)
),
""))</f>
        <v/>
      </c>
    </row>
    <row r="177">
      <c r="B177" s="23" t="b">
        <v>0</v>
      </c>
      <c r="C177" s="18" t="str">
        <f>IF(Z177="","",COUNTIF('건들지말것'!A:A,Z177))</f>
        <v/>
      </c>
      <c r="F177" s="8" t="b">
        <v>0</v>
      </c>
      <c r="Z177" s="33" t="str">
        <f t="array" ref="Z177">IF(A177="","",
IFERROR(
INDEX('혈맹원 정보'!E$2:E1000,
MATCH(A177, '혈맹원 정보'!A$2:A1000, 0)
),
""))</f>
        <v/>
      </c>
    </row>
    <row r="178">
      <c r="B178" s="23" t="b">
        <v>0</v>
      </c>
      <c r="C178" s="18" t="str">
        <f>IF(Z178="","",COUNTIF('건들지말것'!A:A,Z178))</f>
        <v/>
      </c>
      <c r="F178" s="8" t="b">
        <v>0</v>
      </c>
      <c r="Z178" s="33" t="str">
        <f t="array" ref="Z178">IF(A178="","",
IFERROR(
INDEX('혈맹원 정보'!E$2:E1000,
MATCH(A178, '혈맹원 정보'!A$2:A1000, 0)
),
""))</f>
        <v/>
      </c>
    </row>
    <row r="179">
      <c r="B179" s="23" t="b">
        <v>0</v>
      </c>
      <c r="C179" s="18" t="str">
        <f>IF(Z179="","",COUNTIF('건들지말것'!A:A,Z179))</f>
        <v/>
      </c>
      <c r="F179" s="8" t="b">
        <v>0</v>
      </c>
      <c r="Z179" s="33" t="str">
        <f t="array" ref="Z179">IF(A179="","",
IFERROR(
INDEX('혈맹원 정보'!E$2:E1000,
MATCH(A179, '혈맹원 정보'!A$2:A1000, 0)
),
""))</f>
        <v/>
      </c>
    </row>
    <row r="180">
      <c r="B180" s="23" t="b">
        <v>0</v>
      </c>
      <c r="C180" s="18" t="str">
        <f>IF(Z180="","",COUNTIF('건들지말것'!A:A,Z180))</f>
        <v/>
      </c>
      <c r="F180" s="8" t="b">
        <v>0</v>
      </c>
      <c r="Z180" s="33" t="str">
        <f t="array" ref="Z180">IF(A180="","",
IFERROR(
INDEX('혈맹원 정보'!E$2:E1000,
MATCH(A180, '혈맹원 정보'!A$2:A1000, 0)
),
""))</f>
        <v/>
      </c>
    </row>
    <row r="181">
      <c r="B181" s="23" t="b">
        <v>0</v>
      </c>
      <c r="C181" s="18" t="str">
        <f>IF(Z181="","",COUNTIF('건들지말것'!A:A,Z181))</f>
        <v/>
      </c>
      <c r="F181" s="8" t="b">
        <v>0</v>
      </c>
      <c r="Z181" s="33" t="str">
        <f t="array" ref="Z181">IF(A181="","",
IFERROR(
INDEX('혈맹원 정보'!E$2:E1000,
MATCH(A181, '혈맹원 정보'!A$2:A1000, 0)
),
""))</f>
        <v/>
      </c>
    </row>
    <row r="182">
      <c r="B182" s="23" t="b">
        <v>0</v>
      </c>
      <c r="C182" s="18" t="str">
        <f>IF(Z182="","",COUNTIF('건들지말것'!A:A,Z182))</f>
        <v/>
      </c>
      <c r="F182" s="8" t="b">
        <v>0</v>
      </c>
      <c r="Z182" s="33" t="str">
        <f t="array" ref="Z182">IF(A182="","",
IFERROR(
INDEX('혈맹원 정보'!E$2:E1000,
MATCH(A182, '혈맹원 정보'!A$2:A1000, 0)
),
""))</f>
        <v/>
      </c>
    </row>
    <row r="183">
      <c r="B183" s="23" t="b">
        <v>0</v>
      </c>
      <c r="C183" s="18" t="str">
        <f>IF(Z183="","",COUNTIF('건들지말것'!A:A,Z183))</f>
        <v/>
      </c>
      <c r="F183" s="8" t="b">
        <v>0</v>
      </c>
      <c r="Z183" s="33" t="str">
        <f t="array" ref="Z183">IF(A183="","",
IFERROR(
INDEX('혈맹원 정보'!E$2:E1000,
MATCH(A183, '혈맹원 정보'!A$2:A1000, 0)
),
""))</f>
        <v/>
      </c>
    </row>
    <row r="184">
      <c r="B184" s="23" t="b">
        <v>0</v>
      </c>
      <c r="C184" s="18" t="str">
        <f>IF(Z184="","",COUNTIF('건들지말것'!A:A,Z184))</f>
        <v/>
      </c>
      <c r="F184" s="8" t="b">
        <v>0</v>
      </c>
      <c r="Z184" s="33" t="str">
        <f t="array" ref="Z184">IF(A184="","",
IFERROR(
INDEX('혈맹원 정보'!E$2:E1000,
MATCH(A184, '혈맹원 정보'!A$2:A1000, 0)
),
""))</f>
        <v/>
      </c>
    </row>
    <row r="185">
      <c r="B185" s="23" t="b">
        <v>0</v>
      </c>
      <c r="C185" s="18" t="str">
        <f>IF(Z185="","",COUNTIF('건들지말것'!A:A,Z185))</f>
        <v/>
      </c>
      <c r="F185" s="8" t="b">
        <v>0</v>
      </c>
      <c r="Z185" s="33" t="str">
        <f t="array" ref="Z185">IF(A185="","",
IFERROR(
INDEX('혈맹원 정보'!E$2:E1000,
MATCH(A185, '혈맹원 정보'!A$2:A1000, 0)
),
""))</f>
        <v/>
      </c>
    </row>
    <row r="186">
      <c r="B186" s="23" t="b">
        <v>0</v>
      </c>
      <c r="C186" s="18" t="str">
        <f>IF(Z186="","",COUNTIF('건들지말것'!A:A,Z186))</f>
        <v/>
      </c>
      <c r="F186" s="8" t="b">
        <v>0</v>
      </c>
      <c r="Z186" s="33" t="str">
        <f t="array" ref="Z186">IF(A186="","",
IFERROR(
INDEX('혈맹원 정보'!E$2:E1000,
MATCH(A186, '혈맹원 정보'!A$2:A1000, 0)
),
""))</f>
        <v/>
      </c>
    </row>
    <row r="187">
      <c r="B187" s="23" t="b">
        <v>0</v>
      </c>
      <c r="C187" s="18" t="str">
        <f>IF(Z187="","",COUNTIF('건들지말것'!A:A,Z187))</f>
        <v/>
      </c>
      <c r="F187" s="8" t="b">
        <v>0</v>
      </c>
      <c r="Z187" s="33" t="str">
        <f t="array" ref="Z187">IF(A187="","",
IFERROR(
INDEX('혈맹원 정보'!E$2:E1000,
MATCH(A187, '혈맹원 정보'!A$2:A1000, 0)
),
""))</f>
        <v/>
      </c>
    </row>
    <row r="188">
      <c r="B188" s="23" t="b">
        <v>0</v>
      </c>
      <c r="C188" s="18" t="str">
        <f>IF(Z188="","",COUNTIF('건들지말것'!A:A,Z188))</f>
        <v/>
      </c>
      <c r="F188" s="8" t="b">
        <v>0</v>
      </c>
      <c r="Z188" s="33" t="str">
        <f t="array" ref="Z188">IF(A188="","",
IFERROR(
INDEX('혈맹원 정보'!E$2:E1000,
MATCH(A188, '혈맹원 정보'!A$2:A1000, 0)
),
""))</f>
        <v/>
      </c>
    </row>
    <row r="189">
      <c r="B189" s="23" t="b">
        <v>0</v>
      </c>
      <c r="C189" s="18" t="str">
        <f>IF(Z189="","",COUNTIF('건들지말것'!A:A,Z189))</f>
        <v/>
      </c>
      <c r="F189" s="8" t="b">
        <v>0</v>
      </c>
      <c r="Z189" s="33" t="str">
        <f t="array" ref="Z189">IF(A189="","",
IFERROR(
INDEX('혈맹원 정보'!E$2:E1000,
MATCH(A189, '혈맹원 정보'!A$2:A1000, 0)
),
""))</f>
        <v/>
      </c>
    </row>
    <row r="190">
      <c r="B190" s="23" t="b">
        <v>0</v>
      </c>
      <c r="C190" s="18" t="str">
        <f>IF(Z190="","",COUNTIF('건들지말것'!A:A,Z190))</f>
        <v/>
      </c>
      <c r="F190" s="8" t="b">
        <v>0</v>
      </c>
      <c r="Z190" s="33" t="str">
        <f t="array" ref="Z190">IF(A190="","",
IFERROR(
INDEX('혈맹원 정보'!E$2:E1000,
MATCH(A190, '혈맹원 정보'!A$2:A1000, 0)
),
""))</f>
        <v/>
      </c>
    </row>
    <row r="191">
      <c r="B191" s="23" t="b">
        <v>0</v>
      </c>
      <c r="C191" s="18" t="str">
        <f>IF(Z191="","",COUNTIF('건들지말것'!A:A,Z191))</f>
        <v/>
      </c>
      <c r="F191" s="8" t="b">
        <v>0</v>
      </c>
      <c r="Z191" s="33" t="str">
        <f t="array" ref="Z191">IF(A191="","",
IFERROR(
INDEX('혈맹원 정보'!E$2:E1000,
MATCH(A191, '혈맹원 정보'!A$2:A1000, 0)
),
""))</f>
        <v/>
      </c>
    </row>
    <row r="192">
      <c r="B192" s="23" t="b">
        <v>0</v>
      </c>
      <c r="C192" s="18" t="str">
        <f>IF(Z192="","",COUNTIF('건들지말것'!A:A,Z192))</f>
        <v/>
      </c>
      <c r="F192" s="8" t="b">
        <v>0</v>
      </c>
      <c r="Z192" s="33" t="str">
        <f t="array" ref="Z192">IF(A192="","",
IFERROR(
INDEX('혈맹원 정보'!E$2:E1000,
MATCH(A192, '혈맹원 정보'!A$2:A1000, 0)
),
""))</f>
        <v/>
      </c>
    </row>
    <row r="193">
      <c r="B193" s="23" t="b">
        <v>0</v>
      </c>
      <c r="C193" s="18" t="str">
        <f>IF(Z193="","",COUNTIF('건들지말것'!A:A,Z193))</f>
        <v/>
      </c>
      <c r="F193" s="8" t="b">
        <v>0</v>
      </c>
      <c r="Z193" s="33" t="str">
        <f t="array" ref="Z193">IF(A193="","",
IFERROR(
INDEX('혈맹원 정보'!E$2:E1000,
MATCH(A193, '혈맹원 정보'!A$2:A1000, 0)
),
""))</f>
        <v/>
      </c>
    </row>
    <row r="194">
      <c r="B194" s="23" t="b">
        <v>0</v>
      </c>
      <c r="C194" s="18" t="str">
        <f>IF(Z194="","",COUNTIF('건들지말것'!A:A,Z194))</f>
        <v/>
      </c>
      <c r="F194" s="8" t="b">
        <v>0</v>
      </c>
      <c r="Z194" s="33" t="str">
        <f t="array" ref="Z194">IF(A194="","",
IFERROR(
INDEX('혈맹원 정보'!E$2:E1000,
MATCH(A194, '혈맹원 정보'!A$2:A1000, 0)
),
""))</f>
        <v/>
      </c>
    </row>
    <row r="195">
      <c r="B195" s="23" t="b">
        <v>0</v>
      </c>
      <c r="C195" s="18" t="str">
        <f>IF(Z195="","",COUNTIF('건들지말것'!A:A,Z195))</f>
        <v/>
      </c>
      <c r="F195" s="8" t="b">
        <v>0</v>
      </c>
      <c r="Z195" s="33" t="str">
        <f t="array" ref="Z195">IF(A195="","",
IFERROR(
INDEX('혈맹원 정보'!E$2:E1000,
MATCH(A195, '혈맹원 정보'!A$2:A1000, 0)
),
""))</f>
        <v/>
      </c>
    </row>
    <row r="196">
      <c r="B196" s="23" t="b">
        <v>0</v>
      </c>
      <c r="C196" s="18" t="str">
        <f>IF(Z196="","",COUNTIF('건들지말것'!A:A,Z196))</f>
        <v/>
      </c>
      <c r="F196" s="8" t="b">
        <v>0</v>
      </c>
      <c r="Z196" s="33" t="str">
        <f t="array" ref="Z196">IF(A196="","",
IFERROR(
INDEX('혈맹원 정보'!E$2:E1000,
MATCH(A196, '혈맹원 정보'!A$2:A1000, 0)
),
""))</f>
        <v/>
      </c>
    </row>
    <row r="197">
      <c r="B197" s="23" t="b">
        <v>0</v>
      </c>
      <c r="C197" s="18" t="str">
        <f>IF(Z197="","",COUNTIF('건들지말것'!A:A,Z197))</f>
        <v/>
      </c>
      <c r="F197" s="8" t="b">
        <v>0</v>
      </c>
      <c r="Z197" s="33" t="str">
        <f t="array" ref="Z197">IF(A197="","",
IFERROR(
INDEX('혈맹원 정보'!E$2:E1000,
MATCH(A197, '혈맹원 정보'!A$2:A1000, 0)
),
""))</f>
        <v/>
      </c>
    </row>
    <row r="198">
      <c r="B198" s="23" t="b">
        <v>0</v>
      </c>
      <c r="C198" s="18" t="str">
        <f>IF(Z198="","",COUNTIF('건들지말것'!A:A,Z198))</f>
        <v/>
      </c>
      <c r="F198" s="8" t="b">
        <v>0</v>
      </c>
      <c r="Z198" s="33" t="str">
        <f t="array" ref="Z198">IF(A198="","",
IFERROR(
INDEX('혈맹원 정보'!E$2:E1000,
MATCH(A198, '혈맹원 정보'!A$2:A1000, 0)
),
""))</f>
        <v/>
      </c>
    </row>
    <row r="199">
      <c r="B199" s="23" t="b">
        <v>0</v>
      </c>
      <c r="C199" s="18" t="str">
        <f>IF(Z199="","",COUNTIF('건들지말것'!A:A,Z199))</f>
        <v/>
      </c>
      <c r="F199" s="8" t="b">
        <v>0</v>
      </c>
      <c r="Z199" s="33" t="str">
        <f t="array" ref="Z199">IF(A199="","",
IFERROR(
INDEX('혈맹원 정보'!E$2:E1000,
MATCH(A199, '혈맹원 정보'!A$2:A1000, 0)
),
""))</f>
        <v/>
      </c>
    </row>
    <row r="200">
      <c r="B200" s="23" t="b">
        <v>0</v>
      </c>
      <c r="C200" s="18" t="str">
        <f>IF(Z200="","",COUNTIF('건들지말것'!A:A,Z200))</f>
        <v/>
      </c>
      <c r="F200" s="8" t="b">
        <v>0</v>
      </c>
      <c r="Z200" s="33" t="str">
        <f t="array" ref="Z200">IF(A200="","",
IFERROR(
INDEX('혈맹원 정보'!E$2:E1000,
MATCH(A200, '혈맹원 정보'!A$2:A1000, 0)
),
""))</f>
        <v/>
      </c>
    </row>
    <row r="201">
      <c r="B201" s="23" t="b">
        <v>0</v>
      </c>
      <c r="C201" s="18" t="str">
        <f>IF(Z201="","",COUNTIF('건들지말것'!A:A,Z201))</f>
        <v/>
      </c>
      <c r="F201" s="8" t="b">
        <v>0</v>
      </c>
      <c r="Z201" s="33" t="str">
        <f t="array" ref="Z201">IF(A201="","",
IFERROR(
INDEX('혈맹원 정보'!E$2:E1000,
MATCH(A201, '혈맹원 정보'!A$2:A1000, 0)
),
""))</f>
        <v/>
      </c>
    </row>
    <row r="202">
      <c r="B202" s="23" t="b">
        <v>0</v>
      </c>
      <c r="C202" s="18" t="str">
        <f>IF(Z202="","",COUNTIF('건들지말것'!A:A,Z202))</f>
        <v/>
      </c>
      <c r="F202" s="8" t="b">
        <v>0</v>
      </c>
      <c r="Z202" s="33" t="str">
        <f t="array" ref="Z202">IF(A202="","",
IFERROR(
INDEX('혈맹원 정보'!E$2:E1000,
MATCH(A202, '혈맹원 정보'!A$2:A1000, 0)
),
""))</f>
        <v/>
      </c>
    </row>
    <row r="203">
      <c r="B203" s="23" t="b">
        <v>0</v>
      </c>
      <c r="C203" s="18" t="str">
        <f>IF(Z203="","",COUNTIF('건들지말것'!A:A,Z203))</f>
        <v/>
      </c>
      <c r="F203" s="8" t="b">
        <v>0</v>
      </c>
      <c r="Z203" s="33" t="str">
        <f t="array" ref="Z203">IF(A203="","",
IFERROR(
INDEX('혈맹원 정보'!E$2:E1000,
MATCH(A203, '혈맹원 정보'!A$2:A1000, 0)
),
""))</f>
        <v/>
      </c>
    </row>
    <row r="204">
      <c r="B204" s="23" t="b">
        <v>0</v>
      </c>
      <c r="C204" s="18" t="str">
        <f>IF(Z204="","",COUNTIF('건들지말것'!A:A,Z204))</f>
        <v/>
      </c>
      <c r="F204" s="8" t="b">
        <v>0</v>
      </c>
      <c r="Z204" s="33" t="str">
        <f t="array" ref="Z204">IF(A204="","",
IFERROR(
INDEX('혈맹원 정보'!E$2:E1000,
MATCH(A204, '혈맹원 정보'!A$2:A1000, 0)
),
""))</f>
        <v/>
      </c>
    </row>
    <row r="205">
      <c r="B205" s="23" t="b">
        <v>0</v>
      </c>
      <c r="C205" s="18" t="str">
        <f>IF(Z205="","",COUNTIF('건들지말것'!A:A,Z205))</f>
        <v/>
      </c>
      <c r="F205" s="8" t="b">
        <v>0</v>
      </c>
      <c r="Z205" s="33" t="str">
        <f t="array" ref="Z205">IF(A205="","",
IFERROR(
INDEX('혈맹원 정보'!E$2:E1000,
MATCH(A205, '혈맹원 정보'!A$2:A1000, 0)
),
""))</f>
        <v/>
      </c>
    </row>
    <row r="206">
      <c r="B206" s="23" t="b">
        <v>0</v>
      </c>
      <c r="C206" s="18" t="str">
        <f>IF(Z206="","",COUNTIF('건들지말것'!A:A,Z206))</f>
        <v/>
      </c>
      <c r="F206" s="8" t="b">
        <v>0</v>
      </c>
      <c r="Z206" s="33" t="str">
        <f t="array" ref="Z206">IF(A206="","",
IFERROR(
INDEX('혈맹원 정보'!E$2:E1000,
MATCH(A206, '혈맹원 정보'!A$2:A1000, 0)
),
""))</f>
        <v/>
      </c>
    </row>
    <row r="207">
      <c r="B207" s="23" t="b">
        <v>0</v>
      </c>
      <c r="C207" s="18" t="str">
        <f>IF(Z207="","",COUNTIF('건들지말것'!A:A,Z207))</f>
        <v/>
      </c>
      <c r="F207" s="8" t="b">
        <v>0</v>
      </c>
      <c r="Z207" s="33" t="str">
        <f t="array" ref="Z207">IF(A207="","",
IFERROR(
INDEX('혈맹원 정보'!E$2:E1000,
MATCH(A207, '혈맹원 정보'!A$2:A1000, 0)
),
""))</f>
        <v/>
      </c>
    </row>
    <row r="208">
      <c r="B208" s="23" t="b">
        <v>0</v>
      </c>
      <c r="C208" s="18" t="str">
        <f>IF(Z208="","",COUNTIF('건들지말것'!A:A,Z208))</f>
        <v/>
      </c>
      <c r="F208" s="8" t="b">
        <v>0</v>
      </c>
      <c r="Z208" s="33" t="str">
        <f t="array" ref="Z208">IF(A208="","",
IFERROR(
INDEX('혈맹원 정보'!E$2:E1000,
MATCH(A208, '혈맹원 정보'!A$2:A1000, 0)
),
""))</f>
        <v/>
      </c>
    </row>
    <row r="209">
      <c r="B209" s="23" t="b">
        <v>0</v>
      </c>
      <c r="C209" s="18" t="str">
        <f>IF(Z209="","",COUNTIF('건들지말것'!A:A,Z209))</f>
        <v/>
      </c>
      <c r="F209" s="8" t="b">
        <v>0</v>
      </c>
      <c r="Z209" s="33" t="str">
        <f t="array" ref="Z209">IF(A209="","",
IFERROR(
INDEX('혈맹원 정보'!E$2:E1000,
MATCH(A209, '혈맹원 정보'!A$2:A1000, 0)
),
""))</f>
        <v/>
      </c>
    </row>
    <row r="210">
      <c r="B210" s="23" t="b">
        <v>0</v>
      </c>
      <c r="C210" s="18" t="str">
        <f>IF(Z210="","",COUNTIF('건들지말것'!A:A,Z210))</f>
        <v/>
      </c>
      <c r="F210" s="8" t="b">
        <v>0</v>
      </c>
      <c r="Z210" s="33" t="str">
        <f t="array" ref="Z210">IF(A210="","",
IFERROR(
INDEX('혈맹원 정보'!E$2:E1000,
MATCH(A210, '혈맹원 정보'!A$2:A1000, 0)
),
""))</f>
        <v/>
      </c>
    </row>
    <row r="211">
      <c r="B211" s="23" t="b">
        <v>0</v>
      </c>
      <c r="C211" s="18" t="str">
        <f>IF(Z211="","",COUNTIF('건들지말것'!A:A,Z211))</f>
        <v/>
      </c>
      <c r="F211" s="8" t="b">
        <v>0</v>
      </c>
      <c r="Z211" s="33" t="str">
        <f t="array" ref="Z211">IF(A211="","",
IFERROR(
INDEX('혈맹원 정보'!E$2:E1000,
MATCH(A211, '혈맹원 정보'!A$2:A1000, 0)
),
""))</f>
        <v/>
      </c>
    </row>
    <row r="212">
      <c r="B212" s="23" t="b">
        <v>0</v>
      </c>
      <c r="C212" s="18" t="str">
        <f>IF(Z212="","",COUNTIF('건들지말것'!A:A,Z212))</f>
        <v/>
      </c>
      <c r="F212" s="8" t="b">
        <v>0</v>
      </c>
      <c r="Z212" s="33" t="str">
        <f t="array" ref="Z212">IF(A212="","",
IFERROR(
INDEX('혈맹원 정보'!E$2:E1000,
MATCH(A212, '혈맹원 정보'!A$2:A1000, 0)
),
""))</f>
        <v/>
      </c>
    </row>
    <row r="213">
      <c r="B213" s="23" t="b">
        <v>0</v>
      </c>
      <c r="C213" s="18" t="str">
        <f>IF(Z213="","",COUNTIF('건들지말것'!A:A,Z213))</f>
        <v/>
      </c>
      <c r="F213" s="8" t="b">
        <v>0</v>
      </c>
      <c r="Z213" s="33" t="str">
        <f t="array" ref="Z213">IF(A213="","",
IFERROR(
INDEX('혈맹원 정보'!E$2:E1000,
MATCH(A213, '혈맹원 정보'!A$2:A1000, 0)
),
""))</f>
        <v/>
      </c>
    </row>
    <row r="214">
      <c r="B214" s="23" t="b">
        <v>0</v>
      </c>
      <c r="C214" s="18" t="str">
        <f>IF(Z214="","",COUNTIF('건들지말것'!A:A,Z214))</f>
        <v/>
      </c>
      <c r="F214" s="8" t="b">
        <v>0</v>
      </c>
      <c r="Z214" s="33" t="str">
        <f t="array" ref="Z214">IF(A214="","",
IFERROR(
INDEX('혈맹원 정보'!E$2:E1000,
MATCH(A214, '혈맹원 정보'!A$2:A1000, 0)
),
""))</f>
        <v/>
      </c>
    </row>
    <row r="215">
      <c r="B215" s="23" t="b">
        <v>0</v>
      </c>
      <c r="C215" s="18" t="str">
        <f>IF(Z215="","",COUNTIF('건들지말것'!A:A,Z215))</f>
        <v/>
      </c>
      <c r="F215" s="8" t="b">
        <v>0</v>
      </c>
      <c r="Z215" s="33" t="str">
        <f t="array" ref="Z215">IF(A215="","",
IFERROR(
INDEX('혈맹원 정보'!E$2:E1000,
MATCH(A215, '혈맹원 정보'!A$2:A1000, 0)
),
""))</f>
        <v/>
      </c>
    </row>
    <row r="216">
      <c r="B216" s="23" t="b">
        <v>0</v>
      </c>
      <c r="C216" s="18" t="str">
        <f>IF(Z216="","",COUNTIF('건들지말것'!A:A,Z216))</f>
        <v/>
      </c>
      <c r="F216" s="8" t="b">
        <v>0</v>
      </c>
      <c r="Z216" s="33" t="str">
        <f t="array" ref="Z216">IF(A216="","",
IFERROR(
INDEX('혈맹원 정보'!E$2:E1000,
MATCH(A216, '혈맹원 정보'!A$2:A1000, 0)
),
""))</f>
        <v/>
      </c>
    </row>
    <row r="217">
      <c r="B217" s="23" t="b">
        <v>0</v>
      </c>
      <c r="C217" s="18" t="str">
        <f>IF(Z217="","",COUNTIF('건들지말것'!A:A,Z217))</f>
        <v/>
      </c>
      <c r="F217" s="8" t="b">
        <v>0</v>
      </c>
      <c r="Z217" s="33" t="str">
        <f t="array" ref="Z217">IF(A217="","",
IFERROR(
INDEX('혈맹원 정보'!E$2:E1000,
MATCH(A217, '혈맹원 정보'!A$2:A1000, 0)
),
""))</f>
        <v/>
      </c>
    </row>
    <row r="218">
      <c r="B218" s="23" t="b">
        <v>0</v>
      </c>
      <c r="C218" s="18" t="str">
        <f>IF(Z218="","",COUNTIF('건들지말것'!A:A,Z218))</f>
        <v/>
      </c>
      <c r="F218" s="8" t="b">
        <v>0</v>
      </c>
      <c r="Z218" s="33" t="str">
        <f t="array" ref="Z218">IF(A218="","",
IFERROR(
INDEX('혈맹원 정보'!E$2:E1000,
MATCH(A218, '혈맹원 정보'!A$2:A1000, 0)
),
""))</f>
        <v/>
      </c>
    </row>
    <row r="219">
      <c r="B219" s="23" t="b">
        <v>0</v>
      </c>
      <c r="C219" s="18" t="str">
        <f>IF(Z219="","",COUNTIF('건들지말것'!A:A,Z219))</f>
        <v/>
      </c>
      <c r="F219" s="8" t="b">
        <v>0</v>
      </c>
      <c r="Z219" s="33" t="str">
        <f t="array" ref="Z219">IF(A219="","",
IFERROR(
INDEX('혈맹원 정보'!E$2:E1000,
MATCH(A219, '혈맹원 정보'!A$2:A1000, 0)
),
""))</f>
        <v/>
      </c>
    </row>
    <row r="220">
      <c r="B220" s="23" t="b">
        <v>0</v>
      </c>
      <c r="C220" s="18" t="str">
        <f>IF(Z220="","",COUNTIF('건들지말것'!A:A,Z220))</f>
        <v/>
      </c>
      <c r="F220" s="8" t="b">
        <v>0</v>
      </c>
      <c r="Z220" s="33" t="str">
        <f t="array" ref="Z220">IF(A220="","",
IFERROR(
INDEX('혈맹원 정보'!E$2:E1000,
MATCH(A220, '혈맹원 정보'!A$2:A1000, 0)
),
""))</f>
        <v/>
      </c>
    </row>
    <row r="221">
      <c r="B221" s="23" t="b">
        <v>0</v>
      </c>
      <c r="C221" s="18" t="str">
        <f>IF(Z221="","",COUNTIF('건들지말것'!A:A,Z221))</f>
        <v/>
      </c>
      <c r="F221" s="8" t="b">
        <v>0</v>
      </c>
      <c r="Z221" s="33" t="str">
        <f t="array" ref="Z221">IF(A221="","",
IFERROR(
INDEX('혈맹원 정보'!E$2:E1000,
MATCH(A221, '혈맹원 정보'!A$2:A1000, 0)
),
""))</f>
        <v/>
      </c>
    </row>
    <row r="222">
      <c r="B222" s="23" t="b">
        <v>0</v>
      </c>
      <c r="C222" s="18" t="str">
        <f>IF(Z222="","",COUNTIF('건들지말것'!A:A,Z222))</f>
        <v/>
      </c>
      <c r="F222" s="8" t="b">
        <v>0</v>
      </c>
      <c r="Z222" s="33" t="str">
        <f t="array" ref="Z222">IF(A222="","",
IFERROR(
INDEX('혈맹원 정보'!E$2:E1000,
MATCH(A222, '혈맹원 정보'!A$2:A1000, 0)
),
""))</f>
        <v/>
      </c>
    </row>
    <row r="223">
      <c r="B223" s="23" t="b">
        <v>0</v>
      </c>
      <c r="C223" s="18" t="str">
        <f>IF(Z223="","",COUNTIF('건들지말것'!A:A,Z223))</f>
        <v/>
      </c>
      <c r="F223" s="8" t="b">
        <v>0</v>
      </c>
      <c r="Z223" s="33" t="str">
        <f t="array" ref="Z223">IF(A223="","",
IFERROR(
INDEX('혈맹원 정보'!E$2:E1000,
MATCH(A223, '혈맹원 정보'!A$2:A1000, 0)
),
""))</f>
        <v/>
      </c>
    </row>
    <row r="224">
      <c r="B224" s="23" t="b">
        <v>0</v>
      </c>
      <c r="C224" s="18" t="str">
        <f>IF(Z224="","",COUNTIF('건들지말것'!A:A,Z224))</f>
        <v/>
      </c>
      <c r="F224" s="8" t="b">
        <v>0</v>
      </c>
      <c r="Z224" s="33" t="str">
        <f t="array" ref="Z224">IF(A224="","",
IFERROR(
INDEX('혈맹원 정보'!E$2:E1000,
MATCH(A224, '혈맹원 정보'!A$2:A1000, 0)
),
""))</f>
        <v/>
      </c>
    </row>
    <row r="225">
      <c r="B225" s="23" t="b">
        <v>0</v>
      </c>
      <c r="C225" s="18" t="str">
        <f>IF(Z225="","",COUNTIF('건들지말것'!A:A,Z225))</f>
        <v/>
      </c>
      <c r="F225" s="8" t="b">
        <v>0</v>
      </c>
      <c r="Z225" s="33" t="str">
        <f t="array" ref="Z225">IF(A225="","",
IFERROR(
INDEX('혈맹원 정보'!E$2:E1000,
MATCH(A225, '혈맹원 정보'!A$2:A1000, 0)
),
""))</f>
        <v/>
      </c>
    </row>
    <row r="226">
      <c r="B226" s="23" t="b">
        <v>0</v>
      </c>
      <c r="C226" s="18" t="str">
        <f>IF(Z226="","",COUNTIF('건들지말것'!A:A,Z226))</f>
        <v/>
      </c>
      <c r="F226" s="8" t="b">
        <v>0</v>
      </c>
      <c r="Z226" s="33" t="str">
        <f t="array" ref="Z226">IF(A226="","",
IFERROR(
INDEX('혈맹원 정보'!E$2:E1000,
MATCH(A226, '혈맹원 정보'!A$2:A1000, 0)
),
""))</f>
        <v/>
      </c>
    </row>
    <row r="227">
      <c r="B227" s="23" t="b">
        <v>0</v>
      </c>
      <c r="C227" s="18" t="str">
        <f>IF(Z227="","",COUNTIF('건들지말것'!A:A,Z227))</f>
        <v/>
      </c>
      <c r="F227" s="8" t="b">
        <v>0</v>
      </c>
      <c r="Z227" s="33" t="str">
        <f t="array" ref="Z227">IF(A227="","",
IFERROR(
INDEX('혈맹원 정보'!E$2:E1000,
MATCH(A227, '혈맹원 정보'!A$2:A1000, 0)
),
""))</f>
        <v/>
      </c>
    </row>
    <row r="228">
      <c r="B228" s="23" t="b">
        <v>0</v>
      </c>
      <c r="C228" s="18" t="str">
        <f>IF(Z228="","",COUNTIF('건들지말것'!A:A,Z228))</f>
        <v/>
      </c>
      <c r="F228" s="8" t="b">
        <v>0</v>
      </c>
      <c r="Z228" s="33" t="str">
        <f t="array" ref="Z228">IF(A228="","",
IFERROR(
INDEX('혈맹원 정보'!E$2:E1000,
MATCH(A228, '혈맹원 정보'!A$2:A1000, 0)
),
""))</f>
        <v/>
      </c>
    </row>
    <row r="229">
      <c r="B229" s="23" t="b">
        <v>0</v>
      </c>
      <c r="C229" s="18" t="str">
        <f>IF(Z229="","",COUNTIF('건들지말것'!A:A,Z229))</f>
        <v/>
      </c>
      <c r="F229" s="8" t="b">
        <v>0</v>
      </c>
      <c r="Z229" s="33" t="str">
        <f t="array" ref="Z229">IF(A229="","",
IFERROR(
INDEX('혈맹원 정보'!E$2:E1000,
MATCH(A229, '혈맹원 정보'!A$2:A1000, 0)
),
""))</f>
        <v/>
      </c>
    </row>
    <row r="230">
      <c r="B230" s="23" t="b">
        <v>0</v>
      </c>
      <c r="C230" s="18" t="str">
        <f>IF(Z230="","",COUNTIF('건들지말것'!A:A,Z230))</f>
        <v/>
      </c>
      <c r="F230" s="8" t="b">
        <v>0</v>
      </c>
      <c r="Z230" s="33" t="str">
        <f t="array" ref="Z230">IF(A230="","",
IFERROR(
INDEX('혈맹원 정보'!E$2:E1000,
MATCH(A230, '혈맹원 정보'!A$2:A1000, 0)
),
""))</f>
        <v/>
      </c>
    </row>
    <row r="231">
      <c r="B231" s="23" t="b">
        <v>0</v>
      </c>
      <c r="C231" s="18" t="str">
        <f>IF(Z231="","",COUNTIF('건들지말것'!A:A,Z231))</f>
        <v/>
      </c>
      <c r="F231" s="8" t="b">
        <v>0</v>
      </c>
      <c r="Z231" s="33" t="str">
        <f t="array" ref="Z231">IF(A231="","",
IFERROR(
INDEX('혈맹원 정보'!E$2:E1000,
MATCH(A231, '혈맹원 정보'!A$2:A1000, 0)
),
""))</f>
        <v/>
      </c>
    </row>
    <row r="232">
      <c r="B232" s="23" t="b">
        <v>0</v>
      </c>
      <c r="C232" s="18" t="str">
        <f>IF(Z232="","",COUNTIF('건들지말것'!A:A,Z232))</f>
        <v/>
      </c>
      <c r="F232" s="8" t="b">
        <v>0</v>
      </c>
      <c r="Z232" s="33" t="str">
        <f t="array" ref="Z232">IF(A232="","",
IFERROR(
INDEX('혈맹원 정보'!E$2:E1000,
MATCH(A232, '혈맹원 정보'!A$2:A1000, 0)
),
""))</f>
        <v/>
      </c>
    </row>
    <row r="233">
      <c r="B233" s="23" t="b">
        <v>0</v>
      </c>
      <c r="C233" s="18" t="str">
        <f>IF(Z233="","",COUNTIF('건들지말것'!A:A,Z233))</f>
        <v/>
      </c>
      <c r="F233" s="8" t="b">
        <v>0</v>
      </c>
      <c r="Z233" s="33" t="str">
        <f t="array" ref="Z233">IF(A233="","",
IFERROR(
INDEX('혈맹원 정보'!E$2:E1000,
MATCH(A233, '혈맹원 정보'!A$2:A1000, 0)
),
""))</f>
        <v/>
      </c>
    </row>
    <row r="234">
      <c r="B234" s="23" t="b">
        <v>0</v>
      </c>
      <c r="C234" s="18" t="str">
        <f>IF(Z234="","",COUNTIF('건들지말것'!A:A,Z234))</f>
        <v/>
      </c>
      <c r="F234" s="8" t="b">
        <v>0</v>
      </c>
      <c r="Z234" s="33" t="str">
        <f t="array" ref="Z234">IF(A234="","",
IFERROR(
INDEX('혈맹원 정보'!E$2:E1000,
MATCH(A234, '혈맹원 정보'!A$2:A1000, 0)
),
""))</f>
        <v/>
      </c>
    </row>
    <row r="235">
      <c r="B235" s="23" t="b">
        <v>0</v>
      </c>
      <c r="C235" s="18" t="str">
        <f>IF(Z235="","",COUNTIF('건들지말것'!A:A,Z235))</f>
        <v/>
      </c>
      <c r="F235" s="8" t="b">
        <v>0</v>
      </c>
      <c r="Z235" s="33" t="str">
        <f t="array" ref="Z235">IF(A235="","",
IFERROR(
INDEX('혈맹원 정보'!E$2:E1000,
MATCH(A235, '혈맹원 정보'!A$2:A1000, 0)
),
""))</f>
        <v/>
      </c>
    </row>
    <row r="236">
      <c r="B236" s="23" t="b">
        <v>0</v>
      </c>
      <c r="C236" s="18" t="str">
        <f>IF(Z236="","",COUNTIF('건들지말것'!A:A,Z236))</f>
        <v/>
      </c>
      <c r="F236" s="8" t="b">
        <v>0</v>
      </c>
      <c r="Z236" s="33" t="str">
        <f t="array" ref="Z236">IF(A236="","",
IFERROR(
INDEX('혈맹원 정보'!E$2:E1000,
MATCH(A236, '혈맹원 정보'!A$2:A1000, 0)
),
""))</f>
        <v/>
      </c>
    </row>
    <row r="237">
      <c r="B237" s="23" t="b">
        <v>0</v>
      </c>
      <c r="C237" s="18" t="str">
        <f>IF(Z237="","",COUNTIF('건들지말것'!A:A,Z237))</f>
        <v/>
      </c>
      <c r="F237" s="8" t="b">
        <v>0</v>
      </c>
      <c r="Z237" s="33" t="str">
        <f t="array" ref="Z237">IF(A237="","",
IFERROR(
INDEX('혈맹원 정보'!E$2:E1000,
MATCH(A237, '혈맹원 정보'!A$2:A1000, 0)
),
""))</f>
        <v/>
      </c>
    </row>
    <row r="238">
      <c r="B238" s="23" t="b">
        <v>0</v>
      </c>
      <c r="C238" s="18" t="str">
        <f>IF(Z238="","",COUNTIF('건들지말것'!A:A,Z238))</f>
        <v/>
      </c>
      <c r="F238" s="8" t="b">
        <v>0</v>
      </c>
      <c r="Z238" s="33" t="str">
        <f t="array" ref="Z238">IF(A238="","",
IFERROR(
INDEX('혈맹원 정보'!E$2:E1000,
MATCH(A238, '혈맹원 정보'!A$2:A1000, 0)
),
""))</f>
        <v/>
      </c>
    </row>
    <row r="239">
      <c r="B239" s="23" t="b">
        <v>0</v>
      </c>
      <c r="C239" s="18" t="str">
        <f>IF(Z239="","",COUNTIF('건들지말것'!A:A,Z239))</f>
        <v/>
      </c>
      <c r="F239" s="8" t="b">
        <v>0</v>
      </c>
      <c r="Z239" s="33" t="str">
        <f t="array" ref="Z239">IF(A239="","",
IFERROR(
INDEX('혈맹원 정보'!E$2:E1000,
MATCH(A239, '혈맹원 정보'!A$2:A1000, 0)
),
""))</f>
        <v/>
      </c>
    </row>
    <row r="240">
      <c r="B240" s="23" t="b">
        <v>0</v>
      </c>
      <c r="C240" s="18" t="str">
        <f>IF(Z240="","",COUNTIF('건들지말것'!A:A,Z240))</f>
        <v/>
      </c>
      <c r="F240" s="8" t="b">
        <v>0</v>
      </c>
      <c r="Z240" s="33" t="str">
        <f t="array" ref="Z240">IF(A240="","",
IFERROR(
INDEX('혈맹원 정보'!E$2:E1000,
MATCH(A240, '혈맹원 정보'!A$2:A1000, 0)
),
""))</f>
        <v/>
      </c>
    </row>
    <row r="241">
      <c r="B241" s="23" t="b">
        <v>0</v>
      </c>
      <c r="C241" s="18" t="str">
        <f>IF(Z241="","",COUNTIF('건들지말것'!A:A,Z241))</f>
        <v/>
      </c>
      <c r="F241" s="8" t="b">
        <v>0</v>
      </c>
      <c r="Z241" s="33" t="str">
        <f t="array" ref="Z241">IF(A241="","",
IFERROR(
INDEX('혈맹원 정보'!E$2:E1000,
MATCH(A241, '혈맹원 정보'!A$2:A1000, 0)
),
""))</f>
        <v/>
      </c>
    </row>
    <row r="242">
      <c r="B242" s="23" t="b">
        <v>0</v>
      </c>
      <c r="C242" s="18" t="str">
        <f>IF(Z242="","",COUNTIF('건들지말것'!A:A,Z242))</f>
        <v/>
      </c>
      <c r="F242" s="8" t="b">
        <v>0</v>
      </c>
      <c r="Z242" s="33" t="str">
        <f t="array" ref="Z242">IF(A242="","",
IFERROR(
INDEX('혈맹원 정보'!E$2:E1000,
MATCH(A242, '혈맹원 정보'!A$2:A1000, 0)
),
""))</f>
        <v/>
      </c>
    </row>
    <row r="243">
      <c r="B243" s="23" t="b">
        <v>0</v>
      </c>
      <c r="C243" s="18" t="str">
        <f>IF(Z243="","",COUNTIF('건들지말것'!A:A,Z243))</f>
        <v/>
      </c>
      <c r="F243" s="8" t="b">
        <v>0</v>
      </c>
      <c r="Z243" s="33" t="str">
        <f t="array" ref="Z243">IF(A243="","",
IFERROR(
INDEX('혈맹원 정보'!E$2:E1000,
MATCH(A243, '혈맹원 정보'!A$2:A1000, 0)
),
""))</f>
        <v/>
      </c>
    </row>
    <row r="244">
      <c r="B244" s="23" t="b">
        <v>0</v>
      </c>
      <c r="C244" s="18" t="str">
        <f>IF(Z244="","",COUNTIF('건들지말것'!A:A,Z244))</f>
        <v/>
      </c>
      <c r="F244" s="8" t="b">
        <v>0</v>
      </c>
      <c r="Z244" s="33" t="str">
        <f t="array" ref="Z244">IF(A244="","",
IFERROR(
INDEX('혈맹원 정보'!E$2:E1000,
MATCH(A244, '혈맹원 정보'!A$2:A1000, 0)
),
""))</f>
        <v/>
      </c>
    </row>
    <row r="245">
      <c r="B245" s="23" t="b">
        <v>0</v>
      </c>
      <c r="C245" s="18" t="str">
        <f>IF(Z245="","",COUNTIF('건들지말것'!A:A,Z245))</f>
        <v/>
      </c>
      <c r="F245" s="8" t="b">
        <v>0</v>
      </c>
      <c r="Z245" s="33" t="str">
        <f t="array" ref="Z245">IF(A245="","",
IFERROR(
INDEX('혈맹원 정보'!E$2:E1000,
MATCH(A245, '혈맹원 정보'!A$2:A1000, 0)
),
""))</f>
        <v/>
      </c>
    </row>
    <row r="246">
      <c r="B246" s="23" t="b">
        <v>0</v>
      </c>
      <c r="C246" s="18" t="str">
        <f>IF(Z246="","",COUNTIF('건들지말것'!A:A,Z246))</f>
        <v/>
      </c>
      <c r="F246" s="8" t="b">
        <v>0</v>
      </c>
      <c r="Z246" s="33" t="str">
        <f t="array" ref="Z246">IF(A246="","",
IFERROR(
INDEX('혈맹원 정보'!E$2:E1000,
MATCH(A246, '혈맹원 정보'!A$2:A1000, 0)
),
""))</f>
        <v/>
      </c>
    </row>
    <row r="247">
      <c r="B247" s="23" t="b">
        <v>0</v>
      </c>
      <c r="C247" s="18" t="str">
        <f>IF(Z247="","",COUNTIF('건들지말것'!A:A,Z247))</f>
        <v/>
      </c>
      <c r="F247" s="8" t="b">
        <v>0</v>
      </c>
      <c r="Z247" s="33" t="str">
        <f t="array" ref="Z247">IF(A247="","",
IFERROR(
INDEX('혈맹원 정보'!E$2:E1000,
MATCH(A247, '혈맹원 정보'!A$2:A1000, 0)
),
""))</f>
        <v/>
      </c>
    </row>
    <row r="248">
      <c r="B248" s="23" t="b">
        <v>0</v>
      </c>
      <c r="C248" s="18" t="str">
        <f>IF(Z248="","",COUNTIF('건들지말것'!A:A,Z248))</f>
        <v/>
      </c>
      <c r="F248" s="8" t="b">
        <v>0</v>
      </c>
      <c r="Z248" s="33" t="str">
        <f t="array" ref="Z248">IF(A248="","",
IFERROR(
INDEX('혈맹원 정보'!E$2:E1000,
MATCH(A248, '혈맹원 정보'!A$2:A1000, 0)
),
""))</f>
        <v/>
      </c>
    </row>
    <row r="249">
      <c r="B249" s="23" t="b">
        <v>0</v>
      </c>
      <c r="C249" s="18" t="str">
        <f>IF(Z249="","",COUNTIF('건들지말것'!A:A,Z249))</f>
        <v/>
      </c>
      <c r="F249" s="8" t="b">
        <v>0</v>
      </c>
      <c r="Z249" s="33" t="str">
        <f t="array" ref="Z249">IF(A249="","",
IFERROR(
INDEX('혈맹원 정보'!E$2:E1000,
MATCH(A249, '혈맹원 정보'!A$2:A1000, 0)
),
""))</f>
        <v/>
      </c>
    </row>
    <row r="250">
      <c r="B250" s="23" t="b">
        <v>0</v>
      </c>
      <c r="C250" s="18" t="str">
        <f>IF(Z250="","",COUNTIF('건들지말것'!A:A,Z250))</f>
        <v/>
      </c>
      <c r="F250" s="8" t="b">
        <v>0</v>
      </c>
      <c r="Z250" s="33" t="str">
        <f t="array" ref="Z250">IF(A250="","",
IFERROR(
INDEX('혈맹원 정보'!E$2:E1000,
MATCH(A250, '혈맹원 정보'!A$2:A1000, 0)
),
""))</f>
        <v/>
      </c>
    </row>
    <row r="251">
      <c r="Z251" s="33" t="str">
        <f t="array" ref="Z251">IF(A251="","",
IFERROR(
INDEX('혈맹원 정보'!E$2:E1000,
MATCH(A251, '혈맹원 정보'!A$2:A1000, 0)
),
""))</f>
        <v/>
      </c>
    </row>
    <row r="252">
      <c r="Z252" s="33" t="str">
        <f t="array" ref="Z252">IF(A252="","",
IFERROR(
INDEX('혈맹원 정보'!E$2:E1000,
MATCH(A252, '혈맹원 정보'!A$2:A1000, 0)
),
""))</f>
        <v/>
      </c>
    </row>
    <row r="253">
      <c r="Z253" s="33" t="str">
        <f t="array" ref="Z253">IF(A253="","",
IFERROR(
INDEX('혈맹원 정보'!E$2:E1000,
MATCH(A253, '혈맹원 정보'!A$2:A1000, 0)
),
""))</f>
        <v/>
      </c>
    </row>
    <row r="254">
      <c r="Z254" s="33" t="str">
        <f t="array" ref="Z254">IF(A254="","",
IFERROR(
INDEX('혈맹원 정보'!E$2:E1000,
MATCH(A254, '혈맹원 정보'!A$2:A1000, 0)
),
""))</f>
        <v/>
      </c>
    </row>
    <row r="255">
      <c r="Z255" s="33" t="str">
        <f t="array" ref="Z255">IF(A255="","",
IFERROR(
INDEX('혈맹원 정보'!E$2:E1000,
MATCH(A255, '혈맹원 정보'!A$2:A1000, 0)
),
""))</f>
        <v/>
      </c>
    </row>
    <row r="256">
      <c r="Z256" s="33" t="str">
        <f t="array" ref="Z256">IF(A256="","",
IFERROR(
INDEX('혈맹원 정보'!E$2:E1000,
MATCH(A256, '혈맹원 정보'!A$2:A1000, 0)
),
""))</f>
        <v/>
      </c>
    </row>
    <row r="257">
      <c r="Z257" s="33" t="str">
        <f t="array" ref="Z257">IF(A257="","",
IFERROR(
INDEX('혈맹원 정보'!E$2:E1000,
MATCH(A257, '혈맹원 정보'!A$2:A1000, 0)
),
""))</f>
        <v/>
      </c>
    </row>
    <row r="258">
      <c r="Z258" s="33" t="str">
        <f t="array" ref="Z258">IF(A258="","",
IFERROR(
INDEX('혈맹원 정보'!E$2:E1000,
MATCH(A258, '혈맹원 정보'!A$2:A1000, 0)
),
""))</f>
        <v/>
      </c>
    </row>
    <row r="259">
      <c r="Z259" s="33" t="str">
        <f t="array" ref="Z259">IF(A259="","",
IFERROR(
INDEX('혈맹원 정보'!E$2:E1000,
MATCH(A259, '혈맹원 정보'!A$2:A1000, 0)
),
""))</f>
        <v/>
      </c>
    </row>
    <row r="260">
      <c r="Z260" s="33" t="str">
        <f t="array" ref="Z260">IF(A260="","",
IFERROR(
INDEX('혈맹원 정보'!E$2:E1000,
MATCH(A260, '혈맹원 정보'!A$2:A1000, 0)
),
""))</f>
        <v/>
      </c>
    </row>
    <row r="261">
      <c r="Z261" s="33" t="str">
        <f t="array" ref="Z261">IF(A261="","",
IFERROR(
INDEX('혈맹원 정보'!E$2:E1000,
MATCH(A261, '혈맹원 정보'!A$2:A1000, 0)
),
""))</f>
        <v/>
      </c>
    </row>
    <row r="262">
      <c r="Z262" s="33" t="str">
        <f t="array" ref="Z262">IF(A262="","",
IFERROR(
INDEX('혈맹원 정보'!E$2:E1000,
MATCH(A262, '혈맹원 정보'!A$2:A1000, 0)
),
""))</f>
        <v/>
      </c>
    </row>
    <row r="263">
      <c r="Z263" s="33" t="str">
        <f t="array" ref="Z263">IF(A263="","",
IFERROR(
INDEX('혈맹원 정보'!E$2:E1000,
MATCH(A263, '혈맹원 정보'!A$2:A1000, 0)
),
""))</f>
        <v/>
      </c>
    </row>
    <row r="264">
      <c r="Z264" s="33" t="str">
        <f t="array" ref="Z264">IF(A264="","",
IFERROR(
INDEX('혈맹원 정보'!E$2:E1000,
MATCH(A264, '혈맹원 정보'!A$2:A1000, 0)
),
""))</f>
        <v/>
      </c>
    </row>
    <row r="265">
      <c r="Z265" s="33" t="str">
        <f t="array" ref="Z265">IF(A265="","",
IFERROR(
INDEX('혈맹원 정보'!E$2:E1000,
MATCH(A265, '혈맹원 정보'!A$2:A1000, 0)
),
""))</f>
        <v/>
      </c>
    </row>
    <row r="266">
      <c r="Z266" s="33" t="str">
        <f t="array" ref="Z266">IF(A266="","",
IFERROR(
INDEX('혈맹원 정보'!E$2:E1000,
MATCH(A266, '혈맹원 정보'!A$2:A1000, 0)
),
""))</f>
        <v/>
      </c>
    </row>
    <row r="267">
      <c r="Z267" s="33" t="str">
        <f t="array" ref="Z267">IF(A267="","",
IFERROR(
INDEX('혈맹원 정보'!E$2:E1000,
MATCH(A267, '혈맹원 정보'!A$2:A1000, 0)
),
""))</f>
        <v/>
      </c>
    </row>
    <row r="268">
      <c r="Z268" s="33" t="str">
        <f t="array" ref="Z268">IF(A268="","",
IFERROR(
INDEX('혈맹원 정보'!E$2:E1000,
MATCH(A268, '혈맹원 정보'!A$2:A1000, 0)
),
""))</f>
        <v/>
      </c>
    </row>
    <row r="269">
      <c r="Z269" s="33" t="str">
        <f t="array" ref="Z269">IF(A269="","",
IFERROR(
INDEX('혈맹원 정보'!E$2:E1000,
MATCH(A269, '혈맹원 정보'!A$2:A1000, 0)
),
""))</f>
        <v/>
      </c>
    </row>
    <row r="270">
      <c r="Z270" s="33" t="str">
        <f t="array" ref="Z270">IF(A270="","",
IFERROR(
INDEX('혈맹원 정보'!E$2:E1000,
MATCH(A270, '혈맹원 정보'!A$2:A1000, 0)
),
""))</f>
        <v/>
      </c>
    </row>
    <row r="271">
      <c r="Z271" s="33" t="str">
        <f t="array" ref="Z271">IF(A271="","",
IFERROR(
INDEX('혈맹원 정보'!E$2:E1000,
MATCH(A271, '혈맹원 정보'!A$2:A1000, 0)
),
""))</f>
        <v/>
      </c>
    </row>
    <row r="272">
      <c r="Z272" s="33" t="str">
        <f t="array" ref="Z272">IF(A272="","",
IFERROR(
INDEX('혈맹원 정보'!E$2:E1000,
MATCH(A272, '혈맹원 정보'!A$2:A1000, 0)
),
""))</f>
        <v/>
      </c>
    </row>
    <row r="273">
      <c r="Z273" s="33" t="str">
        <f t="array" ref="Z273">IF(A273="","",
IFERROR(
INDEX('혈맹원 정보'!E$2:E1000,
MATCH(A273, '혈맹원 정보'!A$2:A1000, 0)
),
""))</f>
        <v/>
      </c>
    </row>
    <row r="274">
      <c r="Z274" s="33" t="str">
        <f t="array" ref="Z274">IF(A274="","",
IFERROR(
INDEX('혈맹원 정보'!E$2:E1000,
MATCH(A274, '혈맹원 정보'!A$2:A1000, 0)
),
""))</f>
        <v/>
      </c>
    </row>
    <row r="275">
      <c r="Z275" s="33" t="str">
        <f t="array" ref="Z275">IF(A275="","",
IFERROR(
INDEX('혈맹원 정보'!E$2:E1000,
MATCH(A275, '혈맹원 정보'!A$2:A1000, 0)
),
""))</f>
        <v/>
      </c>
    </row>
    <row r="276">
      <c r="Z276" s="33" t="str">
        <f t="array" ref="Z276">IF(A276="","",
IFERROR(
INDEX('혈맹원 정보'!E$2:E1000,
MATCH(A276, '혈맹원 정보'!A$2:A1000, 0)
),
""))</f>
        <v/>
      </c>
    </row>
    <row r="277">
      <c r="Z277" s="33" t="str">
        <f t="array" ref="Z277">IF(A277="","",
IFERROR(
INDEX('혈맹원 정보'!E$2:E1000,
MATCH(A277, '혈맹원 정보'!A$2:A1000, 0)
),
""))</f>
        <v/>
      </c>
    </row>
    <row r="278">
      <c r="Z278" s="33" t="str">
        <f t="array" ref="Z278">IF(A278="","",
IFERROR(
INDEX('혈맹원 정보'!E$2:E1000,
MATCH(A278, '혈맹원 정보'!A$2:A1000, 0)
),
""))</f>
        <v/>
      </c>
    </row>
    <row r="279">
      <c r="Z279" s="33" t="str">
        <f t="array" ref="Z279">IF(A279="","",
IFERROR(
INDEX('혈맹원 정보'!E$2:E1000,
MATCH(A279, '혈맹원 정보'!A$2:A1000, 0)
),
""))</f>
        <v/>
      </c>
    </row>
    <row r="280">
      <c r="Z280" s="33" t="str">
        <f t="array" ref="Z280">IF(A280="","",
IFERROR(
INDEX('혈맹원 정보'!E$2:E1000,
MATCH(A280, '혈맹원 정보'!A$2:A1000, 0)
),
""))</f>
        <v/>
      </c>
    </row>
    <row r="281">
      <c r="Z281" s="33" t="str">
        <f t="array" ref="Z281">IF(A281="","",
IFERROR(
INDEX('혈맹원 정보'!E$2:E1000,
MATCH(A281, '혈맹원 정보'!A$2:A1000, 0)
),
""))</f>
        <v/>
      </c>
    </row>
    <row r="282">
      <c r="Z282" s="33" t="str">
        <f t="array" ref="Z282">IF(A282="","",
IFERROR(
INDEX('혈맹원 정보'!E$2:E1000,
MATCH(A282, '혈맹원 정보'!A$2:A1000, 0)
),
""))</f>
        <v/>
      </c>
    </row>
    <row r="283">
      <c r="Z283" s="33" t="str">
        <f t="array" ref="Z283">IF(A283="","",
IFERROR(
INDEX('혈맹원 정보'!E$2:E1000,
MATCH(A283, '혈맹원 정보'!A$2:A1000, 0)
),
""))</f>
        <v/>
      </c>
    </row>
    <row r="284">
      <c r="Z284" s="33" t="str">
        <f t="array" ref="Z284">IF(A284="","",
IFERROR(
INDEX('혈맹원 정보'!E$2:E1000,
MATCH(A284, '혈맹원 정보'!A$2:A1000, 0)
),
""))</f>
        <v/>
      </c>
    </row>
    <row r="285">
      <c r="Z285" s="33" t="str">
        <f t="array" ref="Z285">IF(A285="","",
IFERROR(
INDEX('혈맹원 정보'!E$2:E1000,
MATCH(A285, '혈맹원 정보'!A$2:A1000, 0)
),
""))</f>
        <v/>
      </c>
    </row>
    <row r="286">
      <c r="Z286" s="33" t="str">
        <f t="array" ref="Z286">IF(A286="","",
IFERROR(
INDEX('혈맹원 정보'!E$2:E1000,
MATCH(A286, '혈맹원 정보'!A$2:A1000, 0)
),
""))</f>
        <v/>
      </c>
    </row>
    <row r="287">
      <c r="Z287" s="33" t="str">
        <f t="array" ref="Z287">IF(A287="","",
IFERROR(
INDEX('혈맹원 정보'!E$2:E1000,
MATCH(A287, '혈맹원 정보'!A$2:A1000, 0)
),
""))</f>
        <v/>
      </c>
    </row>
    <row r="288">
      <c r="Z288" s="33" t="str">
        <f t="array" ref="Z288">IF(A288="","",
IFERROR(
INDEX('혈맹원 정보'!E$2:E1000,
MATCH(A288, '혈맹원 정보'!A$2:A1000, 0)
),
""))</f>
        <v/>
      </c>
    </row>
    <row r="289">
      <c r="Z289" s="33" t="str">
        <f t="array" ref="Z289">IF(A289="","",
IFERROR(
INDEX('혈맹원 정보'!E$2:E1000,
MATCH(A289, '혈맹원 정보'!A$2:A1000, 0)
),
""))</f>
        <v/>
      </c>
    </row>
    <row r="290">
      <c r="Z290" s="33" t="str">
        <f t="array" ref="Z290">IF(A290="","",
IFERROR(
INDEX('혈맹원 정보'!E$2:E1000,
MATCH(A290, '혈맹원 정보'!A$2:A1000, 0)
),
""))</f>
        <v/>
      </c>
    </row>
    <row r="291">
      <c r="Z291" s="33" t="str">
        <f t="array" ref="Z291">IF(A291="","",
IFERROR(
INDEX('혈맹원 정보'!E$2:E1000,
MATCH(A291, '혈맹원 정보'!A$2:A1000, 0)
),
""))</f>
        <v/>
      </c>
    </row>
    <row r="292">
      <c r="Z292" s="33" t="str">
        <f t="array" ref="Z292">IF(A292="","",
IFERROR(
INDEX('혈맹원 정보'!E$2:E1000,
MATCH(A292, '혈맹원 정보'!A$2:A1000, 0)
),
""))</f>
        <v/>
      </c>
    </row>
    <row r="293">
      <c r="Z293" s="33" t="str">
        <f t="array" ref="Z293">IF(A293="","",
IFERROR(
INDEX('혈맹원 정보'!E$2:E1000,
MATCH(A293, '혈맹원 정보'!A$2:A1000, 0)
),
""))</f>
        <v/>
      </c>
    </row>
    <row r="294">
      <c r="Z294" s="33" t="str">
        <f t="array" ref="Z294">IF(A294="","",
IFERROR(
INDEX('혈맹원 정보'!E$2:E1000,
MATCH(A294, '혈맹원 정보'!A$2:A1000, 0)
),
""))</f>
        <v/>
      </c>
    </row>
    <row r="295">
      <c r="Z295" s="33" t="str">
        <f t="array" ref="Z295">IF(A295="","",
IFERROR(
INDEX('혈맹원 정보'!E$2:E1000,
MATCH(A295, '혈맹원 정보'!A$2:A1000, 0)
),
""))</f>
        <v/>
      </c>
    </row>
    <row r="296">
      <c r="Z296" s="33" t="str">
        <f t="array" ref="Z296">IF(A296="","",
IFERROR(
INDEX('혈맹원 정보'!E$2:E1000,
MATCH(A296, '혈맹원 정보'!A$2:A1000, 0)
),
""))</f>
        <v/>
      </c>
    </row>
    <row r="297">
      <c r="Z297" s="33" t="str">
        <f t="array" ref="Z297">IF(A297="","",
IFERROR(
INDEX('혈맹원 정보'!E$2:E1000,
MATCH(A297, '혈맹원 정보'!A$2:A1000, 0)
),
""))</f>
        <v/>
      </c>
    </row>
    <row r="298">
      <c r="Z298" s="33" t="str">
        <f t="array" ref="Z298">IF(A298="","",
IFERROR(
INDEX('혈맹원 정보'!E$2:E1000,
MATCH(A298, '혈맹원 정보'!A$2:A1000, 0)
),
""))</f>
        <v/>
      </c>
    </row>
    <row r="299">
      <c r="Z299" s="33" t="str">
        <f t="array" ref="Z299">IF(A299="","",
IFERROR(
INDEX('혈맹원 정보'!E$2:E1000,
MATCH(A299, '혈맹원 정보'!A$2:A1000, 0)
),
""))</f>
        <v/>
      </c>
    </row>
    <row r="300">
      <c r="Z300" s="33" t="str">
        <f t="array" ref="Z300">IF(A300="","",
IFERROR(
INDEX('혈맹원 정보'!E$2:E1000,
MATCH(A300, '혈맹원 정보'!A$2:A1000, 0)
),
""))</f>
        <v/>
      </c>
    </row>
    <row r="301">
      <c r="Z301" s="33" t="str">
        <f t="array" ref="Z301">IF(A301="","",
IFERROR(
INDEX('혈맹원 정보'!E$2:E1000,
MATCH(A301, '혈맹원 정보'!A$2:A1000, 0)
),
""))</f>
        <v/>
      </c>
    </row>
    <row r="302">
      <c r="Z302" s="33" t="str">
        <f t="array" ref="Z302">IF(A302="","",
IFERROR(
INDEX('혈맹원 정보'!E$2:E1000,
MATCH(A302, '혈맹원 정보'!A$2:A1000, 0)
),
""))</f>
        <v/>
      </c>
    </row>
    <row r="303">
      <c r="Z303" s="33" t="str">
        <f t="array" ref="Z303">IF(A303="","",
IFERROR(
INDEX('혈맹원 정보'!E$2:E1000,
MATCH(A303, '혈맹원 정보'!A$2:A1000, 0)
),
""))</f>
        <v/>
      </c>
    </row>
    <row r="304">
      <c r="Z304" s="33" t="str">
        <f t="array" ref="Z304">IF(A304="","",
IFERROR(
INDEX('혈맹원 정보'!E$2:E1000,
MATCH(A304, '혈맹원 정보'!A$2:A1000, 0)
),
""))</f>
        <v/>
      </c>
    </row>
    <row r="305">
      <c r="Z305" s="33" t="str">
        <f t="array" ref="Z305">IF(A305="","",
IFERROR(
INDEX('혈맹원 정보'!E$2:E1000,
MATCH(A305, '혈맹원 정보'!A$2:A1000, 0)
),
""))</f>
        <v/>
      </c>
    </row>
    <row r="306">
      <c r="Z306" s="33" t="str">
        <f t="array" ref="Z306">IF(A306="","",
IFERROR(
INDEX('혈맹원 정보'!E$2:E1000,
MATCH(A306, '혈맹원 정보'!A$2:A1000, 0)
),
""))</f>
        <v/>
      </c>
    </row>
    <row r="307">
      <c r="Z307" s="33" t="str">
        <f t="array" ref="Z307">IF(A307="","",
IFERROR(
INDEX('혈맹원 정보'!E$2:E1000,
MATCH(A307, '혈맹원 정보'!A$2:A1000, 0)
),
""))</f>
        <v/>
      </c>
    </row>
    <row r="308">
      <c r="Z308" s="33" t="str">
        <f t="array" ref="Z308">IF(A308="","",
IFERROR(
INDEX('혈맹원 정보'!E$2:E1000,
MATCH(A308, '혈맹원 정보'!A$2:A1000, 0)
),
""))</f>
        <v/>
      </c>
    </row>
    <row r="309">
      <c r="Z309" s="33" t="str">
        <f t="array" ref="Z309">IF(A309="","",
IFERROR(
INDEX('혈맹원 정보'!E$2:E1000,
MATCH(A309, '혈맹원 정보'!A$2:A1000, 0)
),
""))</f>
        <v/>
      </c>
    </row>
    <row r="310">
      <c r="Z310" s="33" t="str">
        <f t="array" ref="Z310">IF(A310="","",
IFERROR(
INDEX('혈맹원 정보'!E$2:E1000,
MATCH(A310, '혈맹원 정보'!A$2:A1000, 0)
),
""))</f>
        <v/>
      </c>
    </row>
    <row r="311">
      <c r="Z311" s="33" t="str">
        <f t="array" ref="Z311">IF(A311="","",
IFERROR(
INDEX('혈맹원 정보'!E$2:E1000,
MATCH(A311, '혈맹원 정보'!A$2:A1000, 0)
),
""))</f>
        <v/>
      </c>
    </row>
    <row r="312">
      <c r="Z312" s="33" t="str">
        <f t="array" ref="Z312">IF(A312="","",
IFERROR(
INDEX('혈맹원 정보'!E$2:E1000,
MATCH(A312, '혈맹원 정보'!A$2:A1000, 0)
),
""))</f>
        <v/>
      </c>
    </row>
    <row r="313">
      <c r="Z313" s="33" t="str">
        <f t="array" ref="Z313">IF(A313="","",
IFERROR(
INDEX('혈맹원 정보'!E$2:E1000,
MATCH(A313, '혈맹원 정보'!A$2:A1000, 0)
),
""))</f>
        <v/>
      </c>
    </row>
    <row r="314">
      <c r="Z314" s="33" t="str">
        <f t="array" ref="Z314">IF(A314="","",
IFERROR(
INDEX('혈맹원 정보'!E$2:E1000,
MATCH(A314, '혈맹원 정보'!A$2:A1000, 0)
),
""))</f>
        <v/>
      </c>
    </row>
    <row r="315">
      <c r="Z315" s="33" t="str">
        <f t="array" ref="Z315">IF(A315="","",
IFERROR(
INDEX('혈맹원 정보'!E$2:E1000,
MATCH(A315, '혈맹원 정보'!A$2:A1000, 0)
),
""))</f>
        <v/>
      </c>
    </row>
    <row r="316">
      <c r="Z316" s="33" t="str">
        <f t="array" ref="Z316">IF(A316="","",
IFERROR(
INDEX('혈맹원 정보'!E$2:E1000,
MATCH(A316, '혈맹원 정보'!A$2:A1000, 0)
),
""))</f>
        <v/>
      </c>
    </row>
    <row r="317">
      <c r="Z317" s="33" t="str">
        <f t="array" ref="Z317">IF(A317="","",
IFERROR(
INDEX('혈맹원 정보'!E$2:E1000,
MATCH(A317, '혈맹원 정보'!A$2:A1000, 0)
),
""))</f>
        <v/>
      </c>
    </row>
    <row r="318">
      <c r="Z318" s="33" t="str">
        <f t="array" ref="Z318">IF(A318="","",
IFERROR(
INDEX('혈맹원 정보'!E$2:E1000,
MATCH(A318, '혈맹원 정보'!A$2:A1000, 0)
),
""))</f>
        <v/>
      </c>
    </row>
    <row r="319">
      <c r="Z319" s="33" t="str">
        <f t="array" ref="Z319">IF(A319="","",
IFERROR(
INDEX('혈맹원 정보'!E$2:E1000,
MATCH(A319, '혈맹원 정보'!A$2:A1000, 0)
),
""))</f>
        <v/>
      </c>
    </row>
    <row r="320">
      <c r="Z320" s="33" t="str">
        <f t="array" ref="Z320">IF(A320="","",
IFERROR(
INDEX('혈맹원 정보'!E$2:E1000,
MATCH(A320, '혈맹원 정보'!A$2:A1000, 0)
),
""))</f>
        <v/>
      </c>
    </row>
    <row r="321">
      <c r="Z321" s="33" t="str">
        <f t="array" ref="Z321">IF(A321="","",
IFERROR(
INDEX('혈맹원 정보'!E$2:E1000,
MATCH(A321, '혈맹원 정보'!A$2:A1000, 0)
),
""))</f>
        <v/>
      </c>
    </row>
    <row r="322">
      <c r="Z322" s="33" t="str">
        <f t="array" ref="Z322">IF(A322="","",
IFERROR(
INDEX('혈맹원 정보'!E$2:E1000,
MATCH(A322, '혈맹원 정보'!A$2:A1000, 0)
),
""))</f>
        <v/>
      </c>
    </row>
    <row r="323">
      <c r="Z323" s="33" t="str">
        <f t="array" ref="Z323">IF(A323="","",
IFERROR(
INDEX('혈맹원 정보'!E$2:E1000,
MATCH(A323, '혈맹원 정보'!A$2:A1000, 0)
),
""))</f>
        <v/>
      </c>
    </row>
    <row r="324">
      <c r="Z324" s="33" t="str">
        <f t="array" ref="Z324">IF(A324="","",
IFERROR(
INDEX('혈맹원 정보'!E$2:E1000,
MATCH(A324, '혈맹원 정보'!A$2:A1000, 0)
),
""))</f>
        <v/>
      </c>
    </row>
    <row r="325">
      <c r="Z325" s="33" t="str">
        <f t="array" ref="Z325">IF(A325="","",
IFERROR(
INDEX('혈맹원 정보'!E$2:E1000,
MATCH(A325, '혈맹원 정보'!A$2:A1000, 0)
),
""))</f>
        <v/>
      </c>
    </row>
    <row r="326">
      <c r="Z326" s="33" t="str">
        <f t="array" ref="Z326">IF(A326="","",
IFERROR(
INDEX('혈맹원 정보'!E$2:E1000,
MATCH(A326, '혈맹원 정보'!A$2:A1000, 0)
),
""))</f>
        <v/>
      </c>
    </row>
    <row r="327">
      <c r="Z327" s="33" t="str">
        <f t="array" ref="Z327">IF(A327="","",
IFERROR(
INDEX('혈맹원 정보'!E$2:E1000,
MATCH(A327, '혈맹원 정보'!A$2:A1000, 0)
),
""))</f>
        <v/>
      </c>
    </row>
    <row r="328">
      <c r="Z328" s="33" t="str">
        <f t="array" ref="Z328">IF(A328="","",
IFERROR(
INDEX('혈맹원 정보'!E$2:E1000,
MATCH(A328, '혈맹원 정보'!A$2:A1000, 0)
),
""))</f>
        <v/>
      </c>
    </row>
    <row r="329">
      <c r="Z329" s="33" t="str">
        <f t="array" ref="Z329">IF(A329="","",
IFERROR(
INDEX('혈맹원 정보'!E$2:E1000,
MATCH(A329, '혈맹원 정보'!A$2:A1000, 0)
),
""))</f>
        <v/>
      </c>
    </row>
    <row r="330">
      <c r="Z330" s="33" t="str">
        <f t="array" ref="Z330">IF(A330="","",
IFERROR(
INDEX('혈맹원 정보'!E$2:E1000,
MATCH(A330, '혈맹원 정보'!A$2:A1000, 0)
),
""))</f>
        <v/>
      </c>
    </row>
    <row r="331">
      <c r="Z331" s="33" t="str">
        <f t="array" ref="Z331">IF(A331="","",
IFERROR(
INDEX('혈맹원 정보'!E$2:E1000,
MATCH(A331, '혈맹원 정보'!A$2:A1000, 0)
),
""))</f>
        <v/>
      </c>
    </row>
    <row r="332">
      <c r="Z332" s="33" t="str">
        <f t="array" ref="Z332">IF(A332="","",
IFERROR(
INDEX('혈맹원 정보'!E$2:E1000,
MATCH(A332, '혈맹원 정보'!A$2:A1000, 0)
),
""))</f>
        <v/>
      </c>
    </row>
    <row r="333">
      <c r="Z333" s="33" t="str">
        <f t="array" ref="Z333">IF(A333="","",
IFERROR(
INDEX('혈맹원 정보'!E$2:E1000,
MATCH(A333, '혈맹원 정보'!A$2:A1000, 0)
),
""))</f>
        <v/>
      </c>
    </row>
    <row r="334">
      <c r="Z334" s="33" t="str">
        <f t="array" ref="Z334">IF(A334="","",
IFERROR(
INDEX('혈맹원 정보'!E$2:E1000,
MATCH(A334, '혈맹원 정보'!A$2:A1000, 0)
),
""))</f>
        <v/>
      </c>
    </row>
    <row r="335">
      <c r="Z335" s="33" t="str">
        <f t="array" ref="Z335">IF(A335="","",
IFERROR(
INDEX('혈맹원 정보'!E$2:E1000,
MATCH(A335, '혈맹원 정보'!A$2:A1000, 0)
),
""))</f>
        <v/>
      </c>
    </row>
    <row r="336">
      <c r="Z336" s="33" t="str">
        <f t="array" ref="Z336">IF(A336="","",
IFERROR(
INDEX('혈맹원 정보'!E$2:E1000,
MATCH(A336, '혈맹원 정보'!A$2:A1000, 0)
),
""))</f>
        <v/>
      </c>
    </row>
    <row r="337">
      <c r="Z337" s="33" t="str">
        <f t="array" ref="Z337">IF(A337="","",
IFERROR(
INDEX('혈맹원 정보'!E$2:E1000,
MATCH(A337, '혈맹원 정보'!A$2:A1000, 0)
),
""))</f>
        <v/>
      </c>
    </row>
    <row r="338">
      <c r="Z338" s="33" t="str">
        <f t="array" ref="Z338">IF(A338="","",
IFERROR(
INDEX('혈맹원 정보'!E$2:E1000,
MATCH(A338, '혈맹원 정보'!A$2:A1000, 0)
),
""))</f>
        <v/>
      </c>
    </row>
    <row r="339">
      <c r="Z339" s="33" t="str">
        <f t="array" ref="Z339">IF(A339="","",
IFERROR(
INDEX('혈맹원 정보'!E$2:E1000,
MATCH(A339, '혈맹원 정보'!A$2:A1000, 0)
),
""))</f>
        <v/>
      </c>
    </row>
    <row r="340">
      <c r="Z340" s="33" t="str">
        <f t="array" ref="Z340">IF(A340="","",
IFERROR(
INDEX('혈맹원 정보'!E$2:E1000,
MATCH(A340, '혈맹원 정보'!A$2:A1000, 0)
),
""))</f>
        <v/>
      </c>
    </row>
    <row r="341">
      <c r="Z341" s="33" t="str">
        <f t="array" ref="Z341">IF(A341="","",
IFERROR(
INDEX('혈맹원 정보'!E$2:E1000,
MATCH(A341, '혈맹원 정보'!A$2:A1000, 0)
),
""))</f>
        <v/>
      </c>
    </row>
    <row r="342">
      <c r="Z342" s="33" t="str">
        <f t="array" ref="Z342">IF(A342="","",
IFERROR(
INDEX('혈맹원 정보'!E$2:E1000,
MATCH(A342, '혈맹원 정보'!A$2:A1000, 0)
),
""))</f>
        <v/>
      </c>
    </row>
    <row r="343">
      <c r="Z343" s="33" t="str">
        <f t="array" ref="Z343">IF(A343="","",
IFERROR(
INDEX('혈맹원 정보'!E$2:E1000,
MATCH(A343, '혈맹원 정보'!A$2:A1000, 0)
),
""))</f>
        <v/>
      </c>
    </row>
    <row r="344">
      <c r="Z344" s="33" t="str">
        <f t="array" ref="Z344">IF(A344="","",
IFERROR(
INDEX('혈맹원 정보'!E$2:E1000,
MATCH(A344, '혈맹원 정보'!A$2:A1000, 0)
),
""))</f>
        <v/>
      </c>
    </row>
    <row r="345">
      <c r="Z345" s="33" t="str">
        <f t="array" ref="Z345">IF(A345="","",
IFERROR(
INDEX('혈맹원 정보'!E$2:E1000,
MATCH(A345, '혈맹원 정보'!A$2:A1000, 0)
),
""))</f>
        <v/>
      </c>
    </row>
    <row r="346">
      <c r="Z346" s="33" t="str">
        <f t="array" ref="Z346">IF(A346="","",
IFERROR(
INDEX('혈맹원 정보'!E$2:E1000,
MATCH(A346, '혈맹원 정보'!A$2:A1000, 0)
),
""))</f>
        <v/>
      </c>
    </row>
    <row r="347">
      <c r="Z347" s="33" t="str">
        <f t="array" ref="Z347">IF(A347="","",
IFERROR(
INDEX('혈맹원 정보'!E$2:E1000,
MATCH(A347, '혈맹원 정보'!A$2:A1000, 0)
),
""))</f>
        <v/>
      </c>
    </row>
    <row r="348">
      <c r="Z348" s="33" t="str">
        <f t="array" ref="Z348">IF(A348="","",
IFERROR(
INDEX('혈맹원 정보'!E$2:E1000,
MATCH(A348, '혈맹원 정보'!A$2:A1000, 0)
),
""))</f>
        <v/>
      </c>
    </row>
    <row r="349">
      <c r="Z349" s="33" t="str">
        <f t="array" ref="Z349">IF(A349="","",
IFERROR(
INDEX('혈맹원 정보'!E$2:E1000,
MATCH(A349, '혈맹원 정보'!A$2:A1000, 0)
),
""))</f>
        <v/>
      </c>
    </row>
    <row r="350">
      <c r="Z350" s="33" t="str">
        <f t="array" ref="Z350">IF(A350="","",
IFERROR(
INDEX('혈맹원 정보'!E$2:E1000,
MATCH(A350, '혈맹원 정보'!A$2:A1000, 0)
),
""))</f>
        <v/>
      </c>
    </row>
    <row r="351">
      <c r="Z351" s="33" t="str">
        <f t="array" ref="Z351">IF(A351="","",
IFERROR(
INDEX('혈맹원 정보'!E$2:E1000,
MATCH(A351, '혈맹원 정보'!A$2:A1000, 0)
),
""))</f>
        <v/>
      </c>
    </row>
    <row r="352">
      <c r="Z352" s="33" t="str">
        <f t="array" ref="Z352">IF(A352="","",
IFERROR(
INDEX('혈맹원 정보'!E$2:E1000,
MATCH(A352, '혈맹원 정보'!A$2:A1000, 0)
),
""))</f>
        <v/>
      </c>
    </row>
    <row r="353">
      <c r="Z353" s="33" t="str">
        <f t="array" ref="Z353">IF(A353="","",
IFERROR(
INDEX('혈맹원 정보'!E$2:E1000,
MATCH(A353, '혈맹원 정보'!A$2:A1000, 0)
),
""))</f>
        <v/>
      </c>
    </row>
    <row r="354">
      <c r="Z354" s="33" t="str">
        <f t="array" ref="Z354">IF(A354="","",
IFERROR(
INDEX('혈맹원 정보'!E$2:E1000,
MATCH(A354, '혈맹원 정보'!A$2:A1000, 0)
),
""))</f>
        <v/>
      </c>
    </row>
    <row r="355">
      <c r="Z355" s="33" t="str">
        <f t="array" ref="Z355">IF(A355="","",
IFERROR(
INDEX('혈맹원 정보'!E$2:E1000,
MATCH(A355, '혈맹원 정보'!A$2:A1000, 0)
),
""))</f>
        <v/>
      </c>
    </row>
    <row r="356">
      <c r="Z356" s="33" t="str">
        <f t="array" ref="Z356">IF(A356="","",
IFERROR(
INDEX('혈맹원 정보'!E$2:E1000,
MATCH(A356, '혈맹원 정보'!A$2:A1000, 0)
),
""))</f>
        <v/>
      </c>
    </row>
    <row r="357">
      <c r="Z357" s="33" t="str">
        <f t="array" ref="Z357">IF(A357="","",
IFERROR(
INDEX('혈맹원 정보'!E$2:E1000,
MATCH(A357, '혈맹원 정보'!A$2:A1000, 0)
),
""))</f>
        <v/>
      </c>
    </row>
    <row r="358">
      <c r="Z358" s="33" t="str">
        <f t="array" ref="Z358">IF(A358="","",
IFERROR(
INDEX('혈맹원 정보'!E$2:E1000,
MATCH(A358, '혈맹원 정보'!A$2:A1000, 0)
),
""))</f>
        <v/>
      </c>
    </row>
    <row r="359">
      <c r="Z359" s="33" t="str">
        <f t="array" ref="Z359">IF(A359="","",
IFERROR(
INDEX('혈맹원 정보'!E$2:E1000,
MATCH(A359, '혈맹원 정보'!A$2:A1000, 0)
),
""))</f>
        <v/>
      </c>
    </row>
    <row r="360">
      <c r="Z360" s="33" t="str">
        <f t="array" ref="Z360">IF(A360="","",
IFERROR(
INDEX('혈맹원 정보'!E$2:E1000,
MATCH(A360, '혈맹원 정보'!A$2:A1000, 0)
),
""))</f>
        <v/>
      </c>
    </row>
    <row r="361">
      <c r="Z361" s="33" t="str">
        <f t="array" ref="Z361">IF(A361="","",
IFERROR(
INDEX('혈맹원 정보'!E$2:E1000,
MATCH(A361, '혈맹원 정보'!A$2:A1000, 0)
),
""))</f>
        <v/>
      </c>
    </row>
    <row r="362">
      <c r="Z362" s="33" t="str">
        <f t="array" ref="Z362">IF(A362="","",
IFERROR(
INDEX('혈맹원 정보'!E$2:E1000,
MATCH(A362, '혈맹원 정보'!A$2:A1000, 0)
),
""))</f>
        <v/>
      </c>
    </row>
    <row r="363">
      <c r="Z363" s="33" t="str">
        <f t="array" ref="Z363">IF(A363="","",
IFERROR(
INDEX('혈맹원 정보'!E$2:E1000,
MATCH(A363, '혈맹원 정보'!A$2:A1000, 0)
),
""))</f>
        <v/>
      </c>
    </row>
    <row r="364">
      <c r="Z364" s="33" t="str">
        <f t="array" ref="Z364">IF(A364="","",
IFERROR(
INDEX('혈맹원 정보'!E$2:E1000,
MATCH(A364, '혈맹원 정보'!A$2:A1000, 0)
),
""))</f>
        <v/>
      </c>
    </row>
    <row r="365">
      <c r="Z365" s="33" t="str">
        <f t="array" ref="Z365">IF(A365="","",
IFERROR(
INDEX('혈맹원 정보'!E$2:E1000,
MATCH(A365, '혈맹원 정보'!A$2:A1000, 0)
),
""))</f>
        <v/>
      </c>
    </row>
    <row r="366">
      <c r="Z366" s="33" t="str">
        <f t="array" ref="Z366">IF(A366="","",
IFERROR(
INDEX('혈맹원 정보'!E$2:E1000,
MATCH(A366, '혈맹원 정보'!A$2:A1000, 0)
),
""))</f>
        <v/>
      </c>
    </row>
    <row r="367">
      <c r="Z367" s="33" t="str">
        <f t="array" ref="Z367">IF(A367="","",
IFERROR(
INDEX('혈맹원 정보'!E$2:E1000,
MATCH(A367, '혈맹원 정보'!A$2:A1000, 0)
),
""))</f>
        <v/>
      </c>
    </row>
    <row r="368">
      <c r="Z368" s="33" t="str">
        <f t="array" ref="Z368">IF(A368="","",
IFERROR(
INDEX('혈맹원 정보'!E$2:E1000,
MATCH(A368, '혈맹원 정보'!A$2:A1000, 0)
),
""))</f>
        <v/>
      </c>
    </row>
    <row r="369">
      <c r="Z369" s="33" t="str">
        <f t="array" ref="Z369">IF(A369="","",
IFERROR(
INDEX('혈맹원 정보'!E$2:E1000,
MATCH(A369, '혈맹원 정보'!A$2:A1000, 0)
),
""))</f>
        <v/>
      </c>
    </row>
    <row r="370">
      <c r="Z370" s="33" t="str">
        <f t="array" ref="Z370">IF(A370="","",
IFERROR(
INDEX('혈맹원 정보'!E$2:E1000,
MATCH(A370, '혈맹원 정보'!A$2:A1000, 0)
),
""))</f>
        <v/>
      </c>
    </row>
    <row r="371">
      <c r="Z371" s="33" t="str">
        <f t="array" ref="Z371">IF(A371="","",
IFERROR(
INDEX('혈맹원 정보'!E$2:E1000,
MATCH(A371, '혈맹원 정보'!A$2:A1000, 0)
),
""))</f>
        <v/>
      </c>
    </row>
    <row r="372">
      <c r="Z372" s="33" t="str">
        <f t="array" ref="Z372">IF(A372="","",
IFERROR(
INDEX('혈맹원 정보'!E$2:E1000,
MATCH(A372, '혈맹원 정보'!A$2:A1000, 0)
),
""))</f>
        <v/>
      </c>
    </row>
    <row r="373">
      <c r="Z373" s="33" t="str">
        <f t="array" ref="Z373">IF(A373="","",
IFERROR(
INDEX('혈맹원 정보'!E$2:E1000,
MATCH(A373, '혈맹원 정보'!A$2:A1000, 0)
),
""))</f>
        <v/>
      </c>
    </row>
    <row r="374">
      <c r="Z374" s="33" t="str">
        <f t="array" ref="Z374">IF(A374="","",
IFERROR(
INDEX('혈맹원 정보'!E$2:E1000,
MATCH(A374, '혈맹원 정보'!A$2:A1000, 0)
),
""))</f>
        <v/>
      </c>
    </row>
    <row r="375">
      <c r="Z375" s="33" t="str">
        <f t="array" ref="Z375">IF(A375="","",
IFERROR(
INDEX('혈맹원 정보'!E$2:E1000,
MATCH(A375, '혈맹원 정보'!A$2:A1000, 0)
),
""))</f>
        <v/>
      </c>
    </row>
    <row r="376">
      <c r="Z376" s="33" t="str">
        <f t="array" ref="Z376">IF(A376="","",
IFERROR(
INDEX('혈맹원 정보'!E$2:E1000,
MATCH(A376, '혈맹원 정보'!A$2:A1000, 0)
),
""))</f>
        <v/>
      </c>
    </row>
    <row r="377">
      <c r="Z377" s="33" t="str">
        <f t="array" ref="Z377">IF(A377="","",
IFERROR(
INDEX('혈맹원 정보'!E$2:E1000,
MATCH(A377, '혈맹원 정보'!A$2:A1000, 0)
),
""))</f>
        <v/>
      </c>
    </row>
    <row r="378">
      <c r="Z378" s="33" t="str">
        <f t="array" ref="Z378">IF(A378="","",
IFERROR(
INDEX('혈맹원 정보'!E$2:E1000,
MATCH(A378, '혈맹원 정보'!A$2:A1000, 0)
),
""))</f>
        <v/>
      </c>
    </row>
    <row r="379">
      <c r="Z379" s="33" t="str">
        <f t="array" ref="Z379">IF(A379="","",
IFERROR(
INDEX('혈맹원 정보'!E$2:E1000,
MATCH(A379, '혈맹원 정보'!A$2:A1000, 0)
),
""))</f>
        <v/>
      </c>
    </row>
    <row r="380">
      <c r="Z380" s="33" t="str">
        <f t="array" ref="Z380">IF(A380="","",
IFERROR(
INDEX('혈맹원 정보'!E$2:E1000,
MATCH(A380, '혈맹원 정보'!A$2:A1000, 0)
),
""))</f>
        <v/>
      </c>
    </row>
    <row r="381">
      <c r="Z381" s="33" t="str">
        <f t="array" ref="Z381">IF(A381="","",
IFERROR(
INDEX('혈맹원 정보'!E$2:E1000,
MATCH(A381, '혈맹원 정보'!A$2:A1000, 0)
),
""))</f>
        <v/>
      </c>
    </row>
    <row r="382">
      <c r="Z382" s="33" t="str">
        <f t="array" ref="Z382">IF(A382="","",
IFERROR(
INDEX('혈맹원 정보'!E$2:E1000,
MATCH(A382, '혈맹원 정보'!A$2:A1000, 0)
),
""))</f>
        <v/>
      </c>
    </row>
    <row r="383">
      <c r="Z383" s="33" t="str">
        <f t="array" ref="Z383">IF(A383="","",
IFERROR(
INDEX('혈맹원 정보'!E$2:E1000,
MATCH(A383, '혈맹원 정보'!A$2:A1000, 0)
),
""))</f>
        <v/>
      </c>
    </row>
    <row r="384">
      <c r="Z384" s="33" t="str">
        <f t="array" ref="Z384">IF(A384="","",
IFERROR(
INDEX('혈맹원 정보'!E$2:E1000,
MATCH(A384, '혈맹원 정보'!A$2:A1000, 0)
),
""))</f>
        <v/>
      </c>
    </row>
    <row r="385">
      <c r="Z385" s="33" t="str">
        <f t="array" ref="Z385">IF(A385="","",
IFERROR(
INDEX('혈맹원 정보'!E$2:E1000,
MATCH(A385, '혈맹원 정보'!A$2:A1000, 0)
),
""))</f>
        <v/>
      </c>
    </row>
    <row r="386">
      <c r="Z386" s="33" t="str">
        <f t="array" ref="Z386">IF(A386="","",
IFERROR(
INDEX('혈맹원 정보'!E$2:E1000,
MATCH(A386, '혈맹원 정보'!A$2:A1000, 0)
),
""))</f>
        <v/>
      </c>
    </row>
    <row r="387">
      <c r="Z387" s="33" t="str">
        <f t="array" ref="Z387">IF(A387="","",
IFERROR(
INDEX('혈맹원 정보'!E$2:E1000,
MATCH(A387, '혈맹원 정보'!A$2:A1000, 0)
),
""))</f>
        <v/>
      </c>
    </row>
    <row r="388">
      <c r="Z388" s="33" t="str">
        <f t="array" ref="Z388">IF(A388="","",
IFERROR(
INDEX('혈맹원 정보'!E$2:E1000,
MATCH(A388, '혈맹원 정보'!A$2:A1000, 0)
),
""))</f>
        <v/>
      </c>
    </row>
    <row r="389">
      <c r="Z389" s="33" t="str">
        <f t="array" ref="Z389">IF(A389="","",
IFERROR(
INDEX('혈맹원 정보'!E$2:E1000,
MATCH(A389, '혈맹원 정보'!A$2:A1000, 0)
),
""))</f>
        <v/>
      </c>
    </row>
    <row r="390">
      <c r="Z390" s="33" t="str">
        <f t="array" ref="Z390">IF(A390="","",
IFERROR(
INDEX('혈맹원 정보'!E$2:E1000,
MATCH(A390, '혈맹원 정보'!A$2:A1000, 0)
),
""))</f>
        <v/>
      </c>
    </row>
    <row r="391">
      <c r="Z391" s="33" t="str">
        <f t="array" ref="Z391">IF(A391="","",
IFERROR(
INDEX('혈맹원 정보'!E$2:E1000,
MATCH(A391, '혈맹원 정보'!A$2:A1000, 0)
),
""))</f>
        <v/>
      </c>
    </row>
    <row r="392">
      <c r="Z392" s="33" t="str">
        <f t="array" ref="Z392">IF(A392="","",
IFERROR(
INDEX('혈맹원 정보'!E$2:E1000,
MATCH(A392, '혈맹원 정보'!A$2:A1000, 0)
),
""))</f>
        <v/>
      </c>
    </row>
    <row r="393">
      <c r="Z393" s="33" t="str">
        <f t="array" ref="Z393">IF(A393="","",
IFERROR(
INDEX('혈맹원 정보'!E$2:E1000,
MATCH(A393, '혈맹원 정보'!A$2:A1000, 0)
),
""))</f>
        <v/>
      </c>
    </row>
    <row r="394">
      <c r="Z394" s="33" t="str">
        <f t="array" ref="Z394">IF(A394="","",
IFERROR(
INDEX('혈맹원 정보'!E$2:E1000,
MATCH(A394, '혈맹원 정보'!A$2:A1000, 0)
),
""))</f>
        <v/>
      </c>
    </row>
    <row r="395">
      <c r="Z395" s="33" t="str">
        <f t="array" ref="Z395">IF(A395="","",
IFERROR(
INDEX('혈맹원 정보'!E$2:E1000,
MATCH(A395, '혈맹원 정보'!A$2:A1000, 0)
),
""))</f>
        <v/>
      </c>
    </row>
    <row r="396">
      <c r="Z396" s="33" t="str">
        <f t="array" ref="Z396">IF(A396="","",
IFERROR(
INDEX('혈맹원 정보'!E$2:E1000,
MATCH(A396, '혈맹원 정보'!A$2:A1000, 0)
),
""))</f>
        <v/>
      </c>
    </row>
    <row r="397">
      <c r="Z397" s="33" t="str">
        <f t="array" ref="Z397">IF(A397="","",
IFERROR(
INDEX('혈맹원 정보'!E$2:E1000,
MATCH(A397, '혈맹원 정보'!A$2:A1000, 0)
),
""))</f>
        <v/>
      </c>
    </row>
    <row r="398">
      <c r="Z398" s="33" t="str">
        <f t="array" ref="Z398">IF(A398="","",
IFERROR(
INDEX('혈맹원 정보'!E$2:E1000,
MATCH(A398, '혈맹원 정보'!A$2:A1000, 0)
),
""))</f>
        <v/>
      </c>
    </row>
    <row r="399">
      <c r="Z399" s="33" t="str">
        <f t="array" ref="Z399">IF(A399="","",
IFERROR(
INDEX('혈맹원 정보'!E$2:E1000,
MATCH(A399, '혈맹원 정보'!A$2:A1000, 0)
),
""))</f>
        <v/>
      </c>
    </row>
    <row r="400">
      <c r="Z400" s="33" t="str">
        <f t="array" ref="Z400">IF(A400="","",
IFERROR(
INDEX('혈맹원 정보'!E$2:E1000,
MATCH(A400, '혈맹원 정보'!A$2:A1000, 0)
),
""))</f>
        <v/>
      </c>
    </row>
    <row r="401">
      <c r="Z401" s="33" t="str">
        <f t="array" ref="Z401">IF(A401="","",
IFERROR(
INDEX('혈맹원 정보'!E$2:E1000,
MATCH(A401, '혈맹원 정보'!A$2:A1000, 0)
),
""))</f>
        <v/>
      </c>
    </row>
    <row r="402">
      <c r="Z402" s="33" t="str">
        <f t="array" ref="Z402">IF(A402="","",
IFERROR(
INDEX('혈맹원 정보'!E$2:E1000,
MATCH(A402, '혈맹원 정보'!A$2:A1000, 0)
),
""))</f>
        <v/>
      </c>
    </row>
    <row r="403">
      <c r="Z403" s="33" t="str">
        <f t="array" ref="Z403">IF(A403="","",
IFERROR(
INDEX('혈맹원 정보'!E$2:E1000,
MATCH(A403, '혈맹원 정보'!A$2:A1000, 0)
),
""))</f>
        <v/>
      </c>
    </row>
    <row r="404">
      <c r="Z404" s="33" t="str">
        <f t="array" ref="Z404">IF(A404="","",
IFERROR(
INDEX('혈맹원 정보'!E$2:E1000,
MATCH(A404, '혈맹원 정보'!A$2:A1000, 0)
),
""))</f>
        <v/>
      </c>
    </row>
    <row r="405">
      <c r="Z405" s="33" t="str">
        <f t="array" ref="Z405">IF(A405="","",
IFERROR(
INDEX('혈맹원 정보'!E$2:E1000,
MATCH(A405, '혈맹원 정보'!A$2:A1000, 0)
),
""))</f>
        <v/>
      </c>
    </row>
    <row r="406">
      <c r="Z406" s="33" t="str">
        <f t="array" ref="Z406">IF(A406="","",
IFERROR(
INDEX('혈맹원 정보'!E$2:E1000,
MATCH(A406, '혈맹원 정보'!A$2:A1000, 0)
),
""))</f>
        <v/>
      </c>
    </row>
    <row r="407">
      <c r="Z407" s="33" t="str">
        <f t="array" ref="Z407">IF(A407="","",
IFERROR(
INDEX('혈맹원 정보'!E$2:E1000,
MATCH(A407, '혈맹원 정보'!A$2:A1000, 0)
),
""))</f>
        <v/>
      </c>
    </row>
    <row r="408">
      <c r="Z408" s="33" t="str">
        <f t="array" ref="Z408">IF(A408="","",
IFERROR(
INDEX('혈맹원 정보'!E$2:E1000,
MATCH(A408, '혈맹원 정보'!A$2:A1000, 0)
),
""))</f>
        <v/>
      </c>
    </row>
    <row r="409">
      <c r="Z409" s="33" t="str">
        <f t="array" ref="Z409">IF(A409="","",
IFERROR(
INDEX('혈맹원 정보'!E$2:E1000,
MATCH(A409, '혈맹원 정보'!A$2:A1000, 0)
),
""))</f>
        <v/>
      </c>
    </row>
    <row r="410">
      <c r="Z410" s="33" t="str">
        <f t="array" ref="Z410">IF(A410="","",
IFERROR(
INDEX('혈맹원 정보'!E$2:E1000,
MATCH(A410, '혈맹원 정보'!A$2:A1000, 0)
),
""))</f>
        <v/>
      </c>
    </row>
    <row r="411">
      <c r="Z411" s="33" t="str">
        <f t="array" ref="Z411">IF(A411="","",
IFERROR(
INDEX('혈맹원 정보'!E$2:E1000,
MATCH(A411, '혈맹원 정보'!A$2:A1000, 0)
),
""))</f>
        <v/>
      </c>
    </row>
    <row r="412">
      <c r="Z412" s="33" t="str">
        <f t="array" ref="Z412">IF(A412="","",
IFERROR(
INDEX('혈맹원 정보'!E$2:E1000,
MATCH(A412, '혈맹원 정보'!A$2:A1000, 0)
),
""))</f>
        <v/>
      </c>
    </row>
    <row r="413">
      <c r="Z413" s="33" t="str">
        <f t="array" ref="Z413">IF(A413="","",
IFERROR(
INDEX('혈맹원 정보'!E$2:E1000,
MATCH(A413, '혈맹원 정보'!A$2:A1000, 0)
),
""))</f>
        <v/>
      </c>
    </row>
    <row r="414">
      <c r="Z414" s="33" t="str">
        <f t="array" ref="Z414">IF(A414="","",
IFERROR(
INDEX('혈맹원 정보'!E$2:E1000,
MATCH(A414, '혈맹원 정보'!A$2:A1000, 0)
),
""))</f>
        <v/>
      </c>
    </row>
    <row r="415">
      <c r="Z415" s="33" t="str">
        <f t="array" ref="Z415">IF(A415="","",
IFERROR(
INDEX('혈맹원 정보'!E$2:E1000,
MATCH(A415, '혈맹원 정보'!A$2:A1000, 0)
),
""))</f>
        <v/>
      </c>
    </row>
    <row r="416">
      <c r="Z416" s="33" t="str">
        <f t="array" ref="Z416">IF(A416="","",
IFERROR(
INDEX('혈맹원 정보'!E$2:E1000,
MATCH(A416, '혈맹원 정보'!A$2:A1000, 0)
),
""))</f>
        <v/>
      </c>
    </row>
    <row r="417">
      <c r="Z417" s="33" t="str">
        <f t="array" ref="Z417">IF(A417="","",
IFERROR(
INDEX('혈맹원 정보'!E$2:E1000,
MATCH(A417, '혈맹원 정보'!A$2:A1000, 0)
),
""))</f>
        <v/>
      </c>
    </row>
    <row r="418">
      <c r="Z418" s="33" t="str">
        <f t="array" ref="Z418">IF(A418="","",
IFERROR(
INDEX('혈맹원 정보'!E$2:E1000,
MATCH(A418, '혈맹원 정보'!A$2:A1000, 0)
),
""))</f>
        <v/>
      </c>
    </row>
    <row r="419">
      <c r="Z419" s="33" t="str">
        <f t="array" ref="Z419">IF(A419="","",
IFERROR(
INDEX('혈맹원 정보'!E$2:E1000,
MATCH(A419, '혈맹원 정보'!A$2:A1000, 0)
),
""))</f>
        <v/>
      </c>
    </row>
    <row r="420">
      <c r="Z420" s="33" t="str">
        <f t="array" ref="Z420">IF(A420="","",
IFERROR(
INDEX('혈맹원 정보'!E$2:E1000,
MATCH(A420, '혈맹원 정보'!A$2:A1000, 0)
),
""))</f>
        <v/>
      </c>
    </row>
    <row r="421">
      <c r="Z421" s="33" t="str">
        <f t="array" ref="Z421">IF(A421="","",
IFERROR(
INDEX('혈맹원 정보'!E$2:E1000,
MATCH(A421, '혈맹원 정보'!A$2:A1000, 0)
),
""))</f>
        <v/>
      </c>
    </row>
    <row r="422">
      <c r="Z422" s="33" t="str">
        <f t="array" ref="Z422">IF(A422="","",
IFERROR(
INDEX('혈맹원 정보'!E$2:E1000,
MATCH(A422, '혈맹원 정보'!A$2:A1000, 0)
),
""))</f>
        <v/>
      </c>
    </row>
    <row r="423">
      <c r="Z423" s="33" t="str">
        <f t="array" ref="Z423">IF(A423="","",
IFERROR(
INDEX('혈맹원 정보'!E$2:E1000,
MATCH(A423, '혈맹원 정보'!A$2:A1000, 0)
),
""))</f>
        <v/>
      </c>
    </row>
    <row r="424">
      <c r="Z424" s="33" t="str">
        <f t="array" ref="Z424">IF(A424="","",
IFERROR(
INDEX('혈맹원 정보'!E$2:E1000,
MATCH(A424, '혈맹원 정보'!A$2:A1000, 0)
),
""))</f>
        <v/>
      </c>
    </row>
    <row r="425">
      <c r="Z425" s="33" t="str">
        <f t="array" ref="Z425">IF(A425="","",
IFERROR(
INDEX('혈맹원 정보'!E$2:E1000,
MATCH(A425, '혈맹원 정보'!A$2:A1000, 0)
),
""))</f>
        <v/>
      </c>
    </row>
    <row r="426">
      <c r="Z426" s="33" t="str">
        <f t="array" ref="Z426">IF(A426="","",
IFERROR(
INDEX('혈맹원 정보'!E$2:E1000,
MATCH(A426, '혈맹원 정보'!A$2:A1000, 0)
),
""))</f>
        <v/>
      </c>
    </row>
    <row r="427">
      <c r="Z427" s="33" t="str">
        <f t="array" ref="Z427">IF(A427="","",
IFERROR(
INDEX('혈맹원 정보'!E$2:E1000,
MATCH(A427, '혈맹원 정보'!A$2:A1000, 0)
),
""))</f>
        <v/>
      </c>
    </row>
    <row r="428">
      <c r="Z428" s="33" t="str">
        <f t="array" ref="Z428">IF(A428="","",
IFERROR(
INDEX('혈맹원 정보'!E$2:E1000,
MATCH(A428, '혈맹원 정보'!A$2:A1000, 0)
),
""))</f>
        <v/>
      </c>
    </row>
    <row r="429">
      <c r="Z429" s="33" t="str">
        <f t="array" ref="Z429">IF(A429="","",
IFERROR(
INDEX('혈맹원 정보'!E$2:E1000,
MATCH(A429, '혈맹원 정보'!A$2:A1000, 0)
),
""))</f>
        <v/>
      </c>
    </row>
    <row r="430">
      <c r="Z430" s="33" t="str">
        <f t="array" ref="Z430">IF(A430="","",
IFERROR(
INDEX('혈맹원 정보'!E$2:E1000,
MATCH(A430, '혈맹원 정보'!A$2:A1000, 0)
),
""))</f>
        <v/>
      </c>
    </row>
    <row r="431">
      <c r="Z431" s="33" t="str">
        <f t="array" ref="Z431">IF(A431="","",
IFERROR(
INDEX('혈맹원 정보'!E$2:E1000,
MATCH(A431, '혈맹원 정보'!A$2:A1000, 0)
),
""))</f>
        <v/>
      </c>
    </row>
    <row r="432">
      <c r="Z432" s="33" t="str">
        <f t="array" ref="Z432">IF(A432="","",
IFERROR(
INDEX('혈맹원 정보'!E$2:E1000,
MATCH(A432, '혈맹원 정보'!A$2:A1000, 0)
),
""))</f>
        <v/>
      </c>
    </row>
    <row r="433">
      <c r="Z433" s="33" t="str">
        <f t="array" ref="Z433">IF(A433="","",
IFERROR(
INDEX('혈맹원 정보'!E$2:E1000,
MATCH(A433, '혈맹원 정보'!A$2:A1000, 0)
),
""))</f>
        <v/>
      </c>
    </row>
    <row r="434">
      <c r="Z434" s="33" t="str">
        <f t="array" ref="Z434">IF(A434="","",
IFERROR(
INDEX('혈맹원 정보'!E$2:E1000,
MATCH(A434, '혈맹원 정보'!A$2:A1000, 0)
),
""))</f>
        <v/>
      </c>
    </row>
    <row r="435">
      <c r="Z435" s="33" t="str">
        <f t="array" ref="Z435">IF(A435="","",
IFERROR(
INDEX('혈맹원 정보'!E$2:E1000,
MATCH(A435, '혈맹원 정보'!A$2:A1000, 0)
),
""))</f>
        <v/>
      </c>
    </row>
    <row r="436">
      <c r="Z436" s="33" t="str">
        <f t="array" ref="Z436">IF(A436="","",
IFERROR(
INDEX('혈맹원 정보'!E$2:E1000,
MATCH(A436, '혈맹원 정보'!A$2:A1000, 0)
),
""))</f>
        <v/>
      </c>
    </row>
    <row r="437">
      <c r="Z437" s="33" t="str">
        <f t="array" ref="Z437">IF(A437="","",
IFERROR(
INDEX('혈맹원 정보'!E$2:E1000,
MATCH(A437, '혈맹원 정보'!A$2:A1000, 0)
),
""))</f>
        <v/>
      </c>
    </row>
    <row r="438">
      <c r="Z438" s="33" t="str">
        <f t="array" ref="Z438">IF(A438="","",
IFERROR(
INDEX('혈맹원 정보'!E$2:E1000,
MATCH(A438, '혈맹원 정보'!A$2:A1000, 0)
),
""))</f>
        <v/>
      </c>
    </row>
    <row r="439">
      <c r="Z439" s="33" t="str">
        <f t="array" ref="Z439">IF(A439="","",
IFERROR(
INDEX('혈맹원 정보'!E$2:E1000,
MATCH(A439, '혈맹원 정보'!A$2:A1000, 0)
),
""))</f>
        <v/>
      </c>
    </row>
    <row r="440">
      <c r="Z440" s="33" t="str">
        <f t="array" ref="Z440">IF(A440="","",
IFERROR(
INDEX('혈맹원 정보'!E$2:E1000,
MATCH(A440, '혈맹원 정보'!A$2:A1000, 0)
),
""))</f>
        <v/>
      </c>
    </row>
    <row r="441">
      <c r="Z441" s="33" t="str">
        <f t="array" ref="Z441">IF(A441="","",
IFERROR(
INDEX('혈맹원 정보'!E$2:E1000,
MATCH(A441, '혈맹원 정보'!A$2:A1000, 0)
),
""))</f>
        <v/>
      </c>
    </row>
    <row r="442">
      <c r="Z442" s="33" t="str">
        <f t="array" ref="Z442">IF(A442="","",
IFERROR(
INDEX('혈맹원 정보'!E$2:E1000,
MATCH(A442, '혈맹원 정보'!A$2:A1000, 0)
),
""))</f>
        <v/>
      </c>
    </row>
    <row r="443">
      <c r="Z443" s="33" t="str">
        <f t="array" ref="Z443">IF(A443="","",
IFERROR(
INDEX('혈맹원 정보'!E$2:E1000,
MATCH(A443, '혈맹원 정보'!A$2:A1000, 0)
),
""))</f>
        <v/>
      </c>
    </row>
    <row r="444">
      <c r="Z444" s="33" t="str">
        <f t="array" ref="Z444">IF(A444="","",
IFERROR(
INDEX('혈맹원 정보'!E$2:E1000,
MATCH(A444, '혈맹원 정보'!A$2:A1000, 0)
),
""))</f>
        <v/>
      </c>
    </row>
    <row r="445">
      <c r="Z445" s="33" t="str">
        <f t="array" ref="Z445">IF(A445="","",
IFERROR(
INDEX('혈맹원 정보'!E$2:E1000,
MATCH(A445, '혈맹원 정보'!A$2:A1000, 0)
),
""))</f>
        <v/>
      </c>
    </row>
    <row r="446">
      <c r="Z446" s="33" t="str">
        <f t="array" ref="Z446">IF(A446="","",
IFERROR(
INDEX('혈맹원 정보'!E$2:E1000,
MATCH(A446, '혈맹원 정보'!A$2:A1000, 0)
),
""))</f>
        <v/>
      </c>
    </row>
    <row r="447">
      <c r="Z447" s="33" t="str">
        <f t="array" ref="Z447">IF(A447="","",
IFERROR(
INDEX('혈맹원 정보'!E$2:E1000,
MATCH(A447, '혈맹원 정보'!A$2:A1000, 0)
),
""))</f>
        <v/>
      </c>
    </row>
    <row r="448">
      <c r="Z448" s="33" t="str">
        <f t="array" ref="Z448">IF(A448="","",
IFERROR(
INDEX('혈맹원 정보'!E$2:E1000,
MATCH(A448, '혈맹원 정보'!A$2:A1000, 0)
),
""))</f>
        <v/>
      </c>
    </row>
    <row r="449">
      <c r="Z449" s="33" t="str">
        <f t="array" ref="Z449">IF(A449="","",
IFERROR(
INDEX('혈맹원 정보'!E$2:E1000,
MATCH(A449, '혈맹원 정보'!A$2:A1000, 0)
),
""))</f>
        <v/>
      </c>
    </row>
    <row r="450">
      <c r="Z450" s="33" t="str">
        <f t="array" ref="Z450">IF(A450="","",
IFERROR(
INDEX('혈맹원 정보'!E$2:E1000,
MATCH(A450, '혈맹원 정보'!A$2:A1000, 0)
),
""))</f>
        <v/>
      </c>
    </row>
    <row r="451">
      <c r="Z451" s="33" t="str">
        <f t="array" ref="Z451">IF(A451="","",
IFERROR(
INDEX('혈맹원 정보'!E$2:E1000,
MATCH(A451, '혈맹원 정보'!A$2:A1000, 0)
),
""))</f>
        <v/>
      </c>
    </row>
    <row r="452">
      <c r="Z452" s="33" t="str">
        <f t="array" ref="Z452">IF(A452="","",
IFERROR(
INDEX('혈맹원 정보'!E$2:E1000,
MATCH(A452, '혈맹원 정보'!A$2:A1000, 0)
),
""))</f>
        <v/>
      </c>
    </row>
    <row r="453">
      <c r="Z453" s="33" t="str">
        <f t="array" ref="Z453">IF(A453="","",
IFERROR(
INDEX('혈맹원 정보'!E$2:E1000,
MATCH(A453, '혈맹원 정보'!A$2:A1000, 0)
),
""))</f>
        <v/>
      </c>
    </row>
    <row r="454">
      <c r="Z454" s="33" t="str">
        <f t="array" ref="Z454">IF(A454="","",
IFERROR(
INDEX('혈맹원 정보'!E$2:E1000,
MATCH(A454, '혈맹원 정보'!A$2:A1000, 0)
),
""))</f>
        <v/>
      </c>
    </row>
    <row r="455">
      <c r="Z455" s="33" t="str">
        <f t="array" ref="Z455">IF(A455="","",
IFERROR(
INDEX('혈맹원 정보'!E$2:E1000,
MATCH(A455, '혈맹원 정보'!A$2:A1000, 0)
),
""))</f>
        <v/>
      </c>
    </row>
    <row r="456">
      <c r="Z456" s="33" t="str">
        <f t="array" ref="Z456">IF(A456="","",
IFERROR(
INDEX('혈맹원 정보'!E$2:E1000,
MATCH(A456, '혈맹원 정보'!A$2:A1000, 0)
),
""))</f>
        <v/>
      </c>
    </row>
    <row r="457">
      <c r="Z457" s="33" t="str">
        <f t="array" ref="Z457">IF(A457="","",
IFERROR(
INDEX('혈맹원 정보'!E$2:E1000,
MATCH(A457, '혈맹원 정보'!A$2:A1000, 0)
),
""))</f>
        <v/>
      </c>
    </row>
    <row r="458">
      <c r="Z458" s="33" t="str">
        <f t="array" ref="Z458">IF(A458="","",
IFERROR(
INDEX('혈맹원 정보'!E$2:E1000,
MATCH(A458, '혈맹원 정보'!A$2:A1000, 0)
),
""))</f>
        <v/>
      </c>
    </row>
    <row r="459">
      <c r="Z459" s="33" t="str">
        <f t="array" ref="Z459">IF(A459="","",
IFERROR(
INDEX('혈맹원 정보'!E$2:E1000,
MATCH(A459, '혈맹원 정보'!A$2:A1000, 0)
),
""))</f>
        <v/>
      </c>
    </row>
    <row r="460">
      <c r="Z460" s="33" t="str">
        <f t="array" ref="Z460">IF(A460="","",
IFERROR(
INDEX('혈맹원 정보'!E$2:E1000,
MATCH(A460, '혈맹원 정보'!A$2:A1000, 0)
),
""))</f>
        <v/>
      </c>
    </row>
    <row r="461">
      <c r="Z461" s="33" t="str">
        <f t="array" ref="Z461">IF(A461="","",
IFERROR(
INDEX('혈맹원 정보'!E$2:E1000,
MATCH(A461, '혈맹원 정보'!A$2:A1000, 0)
),
""))</f>
        <v/>
      </c>
    </row>
    <row r="462">
      <c r="Z462" s="33" t="str">
        <f t="array" ref="Z462">IF(A462="","",
IFERROR(
INDEX('혈맹원 정보'!E$2:E1000,
MATCH(A462, '혈맹원 정보'!A$2:A1000, 0)
),
""))</f>
        <v/>
      </c>
    </row>
    <row r="463">
      <c r="Z463" s="33" t="str">
        <f t="array" ref="Z463">IF(A463="","",
IFERROR(
INDEX('혈맹원 정보'!E$2:E1000,
MATCH(A463, '혈맹원 정보'!A$2:A1000, 0)
),
""))</f>
        <v/>
      </c>
    </row>
    <row r="464">
      <c r="Z464" s="33" t="str">
        <f t="array" ref="Z464">IF(A464="","",
IFERROR(
INDEX('혈맹원 정보'!E$2:E1000,
MATCH(A464, '혈맹원 정보'!A$2:A1000, 0)
),
""))</f>
        <v/>
      </c>
    </row>
    <row r="465">
      <c r="Z465" s="33" t="str">
        <f t="array" ref="Z465">IF(A465="","",
IFERROR(
INDEX('혈맹원 정보'!E$2:E1000,
MATCH(A465, '혈맹원 정보'!A$2:A1000, 0)
),
""))</f>
        <v/>
      </c>
    </row>
    <row r="466">
      <c r="Z466" s="33" t="str">
        <f t="array" ref="Z466">IF(A466="","",
IFERROR(
INDEX('혈맹원 정보'!E$2:E1000,
MATCH(A466, '혈맹원 정보'!A$2:A1000, 0)
),
""))</f>
        <v/>
      </c>
    </row>
    <row r="467">
      <c r="Z467" s="33" t="str">
        <f t="array" ref="Z467">IF(A467="","",
IFERROR(
INDEX('혈맹원 정보'!E$2:E1000,
MATCH(A467, '혈맹원 정보'!A$2:A1000, 0)
),
""))</f>
        <v/>
      </c>
    </row>
    <row r="468">
      <c r="Z468" s="33" t="str">
        <f t="array" ref="Z468">IF(A468="","",
IFERROR(
INDEX('혈맹원 정보'!E$2:E1000,
MATCH(A468, '혈맹원 정보'!A$2:A1000, 0)
),
""))</f>
        <v/>
      </c>
    </row>
    <row r="469">
      <c r="Z469" s="8" t="str">
        <f t="array" ref="Z469">IF(A469="","",
IFERROR(
INDEX('혈맹원 정보'!E$2:E1000,
MATCH(A469, '혈맹원 정보'!A$2:A1000, 0)
),
""))</f>
        <v/>
      </c>
    </row>
    <row r="470">
      <c r="Z470" s="8" t="str">
        <f t="array" ref="Z470">IF(A470="","",
IFERROR(
INDEX('혈맹원 정보'!E$2:E1000,
MATCH(A470, '혈맹원 정보'!A$2:A1000, 0)
),
""))</f>
        <v/>
      </c>
    </row>
    <row r="471">
      <c r="Z471" s="8" t="str">
        <f t="array" ref="Z471">IF(A471="","",
IFERROR(
INDEX('혈맹원 정보'!E$2:E1000,
MATCH(A471, '혈맹원 정보'!A$2:A1000, 0)
),
""))</f>
        <v/>
      </c>
    </row>
    <row r="472">
      <c r="Z472" s="8" t="str">
        <f t="array" ref="Z472">IF(A472="","",
IFERROR(
INDEX('혈맹원 정보'!E$2:E1000,
MATCH(A472, '혈맹원 정보'!A$2:A1000, 0)
),
""))</f>
        <v/>
      </c>
    </row>
    <row r="473">
      <c r="Z473" s="8" t="str">
        <f t="array" ref="Z473">IF(A473="","",
IFERROR(
INDEX('혈맹원 정보'!E$2:E1000,
MATCH(A473, '혈맹원 정보'!A$2:A1000, 0)
),
""))</f>
        <v/>
      </c>
    </row>
    <row r="474">
      <c r="Z474" s="8" t="str">
        <f t="array" ref="Z474">IF(A474="","",
IFERROR(
INDEX('혈맹원 정보'!E$2:E1000,
MATCH(A474, '혈맹원 정보'!A$2:A1000, 0)
),
""))</f>
        <v/>
      </c>
    </row>
    <row r="475">
      <c r="Z475" s="8" t="str">
        <f t="array" ref="Z475">IF(A475="","",
IFERROR(
INDEX('혈맹원 정보'!E$2:E1000,
MATCH(A475, '혈맹원 정보'!A$2:A1000, 0)
),
""))</f>
        <v/>
      </c>
    </row>
    <row r="476">
      <c r="Z476" s="8" t="str">
        <f t="array" ref="Z476">IF(A476="","",
IFERROR(
INDEX('혈맹원 정보'!E$2:E1000,
MATCH(A476, '혈맹원 정보'!A$2:A1000, 0)
),
""))</f>
        <v/>
      </c>
    </row>
    <row r="477">
      <c r="Z477" s="8" t="str">
        <f t="array" ref="Z477">IF(A477="","",
IFERROR(
INDEX('혈맹원 정보'!E$2:E1000,
MATCH(A477, '혈맹원 정보'!A$2:A1000, 0)
),
""))</f>
        <v/>
      </c>
    </row>
    <row r="478">
      <c r="Z478" s="8" t="str">
        <f t="array" ref="Z478">IF(A478="","",
IFERROR(
INDEX('혈맹원 정보'!E$2:E1000,
MATCH(A478, '혈맹원 정보'!A$2:A1000, 0)
),
""))</f>
        <v/>
      </c>
    </row>
    <row r="479">
      <c r="Z479" s="8" t="str">
        <f t="array" ref="Z479">IF(A479="","",
IFERROR(
INDEX('혈맹원 정보'!E$2:E1000,
MATCH(A479, '혈맹원 정보'!A$2:A1000, 0)
),
""))</f>
        <v/>
      </c>
    </row>
    <row r="480">
      <c r="Z480" s="8" t="str">
        <f t="array" ref="Z480">IF(A480="","",
IFERROR(
INDEX('혈맹원 정보'!E$2:E1000,
MATCH(A480, '혈맹원 정보'!A$2:A1000, 0)
),
""))</f>
        <v/>
      </c>
    </row>
    <row r="481">
      <c r="Z481" s="8" t="str">
        <f t="array" ref="Z481">IF(A481="","",
IFERROR(
INDEX('혈맹원 정보'!E$2:E1000,
MATCH(A481, '혈맹원 정보'!A$2:A1000, 0)
),
""))</f>
        <v/>
      </c>
    </row>
    <row r="482">
      <c r="Z482" s="8" t="str">
        <f t="array" ref="Z482">IF(A482="","",
IFERROR(
INDEX('혈맹원 정보'!E$2:E1000,
MATCH(A482, '혈맹원 정보'!A$2:A1000, 0)
),
""))</f>
        <v/>
      </c>
    </row>
    <row r="483">
      <c r="Z483" s="8" t="str">
        <f t="array" ref="Z483">IF(A483="","",
IFERROR(
INDEX('혈맹원 정보'!E$2:E1000,
MATCH(A483, '혈맹원 정보'!A$2:A1000, 0)
),
""))</f>
        <v/>
      </c>
    </row>
    <row r="484">
      <c r="Z484" s="8" t="str">
        <f t="array" ref="Z484">IF(A484="","",
IFERROR(
INDEX('혈맹원 정보'!E$2:E1000,
MATCH(A484, '혈맹원 정보'!A$2:A1000, 0)
),
""))</f>
        <v/>
      </c>
    </row>
    <row r="485">
      <c r="Z485" s="8" t="str">
        <f t="array" ref="Z485">IF(A485="","",
IFERROR(
INDEX('혈맹원 정보'!E$2:E1000,
MATCH(A485, '혈맹원 정보'!A$2:A1000, 0)
),
""))</f>
        <v/>
      </c>
    </row>
    <row r="486">
      <c r="Z486" s="8" t="str">
        <f t="array" ref="Z486">IF(A486="","",
IFERROR(
INDEX('혈맹원 정보'!E$2:E1000,
MATCH(A486, '혈맹원 정보'!A$2:A1000, 0)
),
""))</f>
        <v/>
      </c>
    </row>
    <row r="487">
      <c r="Z487" s="8" t="str">
        <f t="array" ref="Z487">IF(A487="","",
IFERROR(
INDEX('혈맹원 정보'!E$2:E1000,
MATCH(A487, '혈맹원 정보'!A$2:A1000, 0)
),
""))</f>
        <v/>
      </c>
    </row>
    <row r="488">
      <c r="Z488" s="8" t="str">
        <f t="array" ref="Z488">IF(A488="","",
IFERROR(
INDEX('혈맹원 정보'!E$2:E1000,
MATCH(A488, '혈맹원 정보'!A$2:A1000, 0)
),
""))</f>
        <v/>
      </c>
    </row>
    <row r="489">
      <c r="Z489" s="8" t="str">
        <f t="array" ref="Z489">IF(A489="","",
IFERROR(
INDEX('혈맹원 정보'!E$2:E1000,
MATCH(A489, '혈맹원 정보'!A$2:A1000, 0)
),
""))</f>
        <v/>
      </c>
    </row>
    <row r="490">
      <c r="Z490" s="8" t="str">
        <f t="array" ref="Z490">IF(A490="","",
IFERROR(
INDEX('혈맹원 정보'!E$2:E1000,
MATCH(A490, '혈맹원 정보'!A$2:A1000, 0)
),
""))</f>
        <v/>
      </c>
    </row>
    <row r="491">
      <c r="Z491" s="8" t="str">
        <f t="array" ref="Z491">IF(A491="","",
IFERROR(
INDEX('혈맹원 정보'!E$2:E1000,
MATCH(A491, '혈맹원 정보'!A$2:A1000, 0)
),
""))</f>
        <v/>
      </c>
    </row>
    <row r="492">
      <c r="Z492" s="8" t="str">
        <f t="array" ref="Z492">IF(A492="","",
IFERROR(
INDEX('혈맹원 정보'!E$2:E1000,
MATCH(A492, '혈맹원 정보'!A$2:A1000, 0)
),
""))</f>
        <v/>
      </c>
    </row>
    <row r="493">
      <c r="Z493" s="8" t="str">
        <f t="array" ref="Z493">IF(A493="","",
IFERROR(
INDEX('혈맹원 정보'!E$2:E1000,
MATCH(A493, '혈맹원 정보'!A$2:A1000, 0)
),
""))</f>
        <v/>
      </c>
    </row>
    <row r="494">
      <c r="Z494" s="8" t="str">
        <f t="array" ref="Z494">IF(A494="","",
IFERROR(
INDEX('혈맹원 정보'!E$2:E1000,
MATCH(A494, '혈맹원 정보'!A$2:A1000, 0)
),
""))</f>
        <v/>
      </c>
    </row>
    <row r="495">
      <c r="Z495" s="8" t="str">
        <f t="array" ref="Z495">IF(A495="","",
IFERROR(
INDEX('혈맹원 정보'!E$2:E1000,
MATCH(A495, '혈맹원 정보'!A$2:A1000, 0)
),
""))</f>
        <v/>
      </c>
    </row>
    <row r="496">
      <c r="Z496" s="8" t="str">
        <f t="array" ref="Z496">IF(A496="","",
IFERROR(
INDEX('혈맹원 정보'!E$2:E1000,
MATCH(A496, '혈맹원 정보'!A$2:A1000, 0)
),
""))</f>
        <v/>
      </c>
    </row>
    <row r="497">
      <c r="Z497" s="8" t="str">
        <f t="array" ref="Z497">IF(A497="","",
IFERROR(
INDEX('혈맹원 정보'!E$2:E1000,
MATCH(A497, '혈맹원 정보'!A$2:A1000, 0)
),
""))</f>
        <v/>
      </c>
    </row>
    <row r="498">
      <c r="Z498" s="8" t="str">
        <f t="array" ref="Z498">IF(A498="","",
IFERROR(
INDEX('혈맹원 정보'!E$2:E1000,
MATCH(A498, '혈맹원 정보'!A$2:A1000, 0)
),
""))</f>
        <v/>
      </c>
    </row>
    <row r="499">
      <c r="Z499" s="8" t="str">
        <f t="array" ref="Z499">IF(A499="","",
IFERROR(
INDEX('혈맹원 정보'!E$2:E1000,
MATCH(A499, '혈맹원 정보'!A$2:A1000, 0)
),
""))</f>
        <v/>
      </c>
    </row>
    <row r="500">
      <c r="Z500" s="8" t="str">
        <f t="array" ref="Z500">IF(A500="","",
IFERROR(
INDEX('혈맹원 정보'!E$2:E1000,
MATCH(A500, '혈맹원 정보'!A$2:A1000, 0)
),
""))</f>
        <v/>
      </c>
    </row>
    <row r="501">
      <c r="Z501" s="8" t="str">
        <f t="array" ref="Z501">IF(A501="","",
IFERROR(
INDEX('혈맹원 정보'!E$2:E1000,
MATCH(A501, '혈맹원 정보'!A$2:A1000, 0)
),
""))</f>
        <v/>
      </c>
    </row>
    <row r="502">
      <c r="Z502" s="8" t="str">
        <f t="array" ref="Z502">IF(A502="","",
IFERROR(
INDEX('혈맹원 정보'!E$2:E1000,
MATCH(A502, '혈맹원 정보'!A$2:A1000, 0)
),
""))</f>
        <v/>
      </c>
    </row>
    <row r="503">
      <c r="Z503" s="8" t="str">
        <f t="array" ref="Z503">IF(A503="","",
IFERROR(
INDEX('혈맹원 정보'!E$2:E1000,
MATCH(A503, '혈맹원 정보'!A$2:A1000, 0)
),
""))</f>
        <v/>
      </c>
    </row>
    <row r="504">
      <c r="Z504" s="8" t="str">
        <f t="array" ref="Z504">IF(A504="","",
IFERROR(
INDEX('혈맹원 정보'!E$2:E1000,
MATCH(A504, '혈맹원 정보'!A$2:A1000, 0)
),
""))</f>
        <v/>
      </c>
    </row>
    <row r="505">
      <c r="Z505" s="8" t="str">
        <f t="array" ref="Z505">IF(A505="","",
IFERROR(
INDEX('혈맹원 정보'!E$2:E1000,
MATCH(A505, '혈맹원 정보'!A$2:A1000, 0)
),
""))</f>
        <v/>
      </c>
    </row>
    <row r="506">
      <c r="Z506" s="8" t="str">
        <f t="array" ref="Z506">IF(A506="","",
IFERROR(
INDEX('혈맹원 정보'!E$2:E1000,
MATCH(A506, '혈맹원 정보'!A$2:A1000, 0)
),
""))</f>
        <v/>
      </c>
    </row>
    <row r="507">
      <c r="Z507" s="8" t="str">
        <f t="array" ref="Z507">IF(A507="","",
IFERROR(
INDEX('혈맹원 정보'!E$2:E1000,
MATCH(A507, '혈맹원 정보'!A$2:A1000, 0)
),
""))</f>
        <v/>
      </c>
    </row>
    <row r="508">
      <c r="Z508" s="8" t="str">
        <f t="array" ref="Z508">IF(A508="","",
IFERROR(
INDEX('혈맹원 정보'!E$2:E1000,
MATCH(A508, '혈맹원 정보'!A$2:A1000, 0)
),
""))</f>
        <v/>
      </c>
    </row>
    <row r="509">
      <c r="Z509" s="8" t="str">
        <f t="array" ref="Z509">IF(A509="","",
IFERROR(
INDEX('혈맹원 정보'!E$2:E1000,
MATCH(A509, '혈맹원 정보'!A$2:A1000, 0)
),
""))</f>
        <v/>
      </c>
    </row>
    <row r="510">
      <c r="Z510" s="8" t="str">
        <f t="array" ref="Z510">IF(A510="","",
IFERROR(
INDEX('혈맹원 정보'!E$2:E1000,
MATCH(A510, '혈맹원 정보'!A$2:A1000, 0)
),
""))</f>
        <v/>
      </c>
    </row>
    <row r="511">
      <c r="Z511" s="8" t="str">
        <f t="array" ref="Z511">IF(A511="","",
IFERROR(
INDEX('혈맹원 정보'!E$2:E1000,
MATCH(A511, '혈맹원 정보'!A$2:A1000, 0)
),
""))</f>
        <v/>
      </c>
    </row>
    <row r="512">
      <c r="Z512" s="8" t="str">
        <f t="array" ref="Z512">IF(A512="","",
IFERROR(
INDEX('혈맹원 정보'!E$2:E1000,
MATCH(A512, '혈맹원 정보'!A$2:A1000, 0)
),
""))</f>
        <v/>
      </c>
    </row>
    <row r="513">
      <c r="Z513" s="8" t="str">
        <f t="array" ref="Z513">IF(A513="","",
IFERROR(
INDEX('혈맹원 정보'!E$2:E1000,
MATCH(A513, '혈맹원 정보'!A$2:A1000, 0)
),
""))</f>
        <v/>
      </c>
    </row>
    <row r="514">
      <c r="Z514" s="8" t="str">
        <f t="array" ref="Z514">IF(A514="","",
IFERROR(
INDEX('혈맹원 정보'!E$2:E1000,
MATCH(A514, '혈맹원 정보'!A$2:A1000, 0)
),
""))</f>
        <v/>
      </c>
    </row>
    <row r="515">
      <c r="Z515" s="8" t="str">
        <f t="array" ref="Z515">IF(A515="","",
IFERROR(
INDEX('혈맹원 정보'!E$2:E1000,
MATCH(A515, '혈맹원 정보'!A$2:A1000, 0)
),
""))</f>
        <v/>
      </c>
    </row>
    <row r="516">
      <c r="Z516" s="8" t="str">
        <f t="array" ref="Z516">IF(A516="","",
IFERROR(
INDEX('혈맹원 정보'!E$2:E1000,
MATCH(A516, '혈맹원 정보'!A$2:A1000, 0)
),
""))</f>
        <v/>
      </c>
    </row>
    <row r="517">
      <c r="Z517" s="8" t="str">
        <f t="array" ref="Z517">IF(A517="","",
IFERROR(
INDEX('혈맹원 정보'!E$2:E1000,
MATCH(A517, '혈맹원 정보'!A$2:A1000, 0)
),
""))</f>
        <v/>
      </c>
    </row>
    <row r="518">
      <c r="Z518" s="8" t="str">
        <f t="array" ref="Z518">IF(A518="","",
IFERROR(
INDEX('혈맹원 정보'!E$2:E1000,
MATCH(A518, '혈맹원 정보'!A$2:A1000, 0)
),
""))</f>
        <v/>
      </c>
    </row>
    <row r="519">
      <c r="Z519" s="8" t="str">
        <f t="array" ref="Z519">IF(A519="","",
IFERROR(
INDEX('혈맹원 정보'!E$2:E1000,
MATCH(A519, '혈맹원 정보'!A$2:A1000, 0)
),
""))</f>
        <v/>
      </c>
    </row>
    <row r="520">
      <c r="Z520" s="8" t="str">
        <f t="array" ref="Z520">IF(A520="","",
IFERROR(
INDEX('혈맹원 정보'!E$2:E1000,
MATCH(A520, '혈맹원 정보'!A$2:A1000, 0)
),
""))</f>
        <v/>
      </c>
    </row>
    <row r="521">
      <c r="Z521" s="8" t="str">
        <f t="array" ref="Z521">IF(A521="","",
IFERROR(
INDEX('혈맹원 정보'!E$2:E1000,
MATCH(A521, '혈맹원 정보'!A$2:A1000, 0)
),
""))</f>
        <v/>
      </c>
    </row>
    <row r="522">
      <c r="Z522" s="8" t="str">
        <f t="array" ref="Z522">IF(A522="","",
IFERROR(
INDEX('혈맹원 정보'!E$2:E1000,
MATCH(A522, '혈맹원 정보'!A$2:A1000, 0)
),
""))</f>
        <v/>
      </c>
    </row>
    <row r="523">
      <c r="Z523" s="8" t="str">
        <f t="array" ref="Z523">IF(A523="","",
IFERROR(
INDEX('혈맹원 정보'!E$2:E1000,
MATCH(A523, '혈맹원 정보'!A$2:A1000, 0)
),
""))</f>
        <v/>
      </c>
    </row>
    <row r="524">
      <c r="Z524" s="8" t="str">
        <f t="array" ref="Z524">IF(A524="","",
IFERROR(
INDEX('혈맹원 정보'!E$2:E1000,
MATCH(A524, '혈맹원 정보'!A$2:A1000, 0)
),
""))</f>
        <v/>
      </c>
    </row>
    <row r="525">
      <c r="Z525" s="8" t="str">
        <f t="array" ref="Z525">IF(A525="","",
IFERROR(
INDEX('혈맹원 정보'!E$2:E1000,
MATCH(A525, '혈맹원 정보'!A$2:A1000, 0)
),
""))</f>
        <v/>
      </c>
    </row>
    <row r="526">
      <c r="Z526" s="8" t="str">
        <f t="array" ref="Z526">IF(A526="","",
IFERROR(
INDEX('혈맹원 정보'!E$2:E1000,
MATCH(A526, '혈맹원 정보'!A$2:A1000, 0)
),
""))</f>
        <v/>
      </c>
    </row>
    <row r="527">
      <c r="Z527" s="8" t="str">
        <f t="array" ref="Z527">IF(A527="","",
IFERROR(
INDEX('혈맹원 정보'!E$2:E1000,
MATCH(A527, '혈맹원 정보'!A$2:A1000, 0)
),
""))</f>
        <v/>
      </c>
    </row>
    <row r="528">
      <c r="Z528" s="8" t="str">
        <f t="array" ref="Z528">IF(A528="","",
IFERROR(
INDEX('혈맹원 정보'!E$2:E1000,
MATCH(A528, '혈맹원 정보'!A$2:A1000, 0)
),
""))</f>
        <v/>
      </c>
    </row>
    <row r="529">
      <c r="Z529" s="8" t="str">
        <f t="array" ref="Z529">IF(A529="","",
IFERROR(
INDEX('혈맹원 정보'!E$2:E1000,
MATCH(A529, '혈맹원 정보'!A$2:A1000, 0)
),
""))</f>
        <v/>
      </c>
    </row>
    <row r="530">
      <c r="Z530" s="8" t="str">
        <f t="array" ref="Z530">IF(A530="","",
IFERROR(
INDEX('혈맹원 정보'!E$2:E1000,
MATCH(A530, '혈맹원 정보'!A$2:A1000, 0)
),
""))</f>
        <v/>
      </c>
    </row>
    <row r="531">
      <c r="Z531" s="8" t="str">
        <f t="array" ref="Z531">IF(A531="","",
IFERROR(
INDEX('혈맹원 정보'!E$2:E1000,
MATCH(A531, '혈맹원 정보'!A$2:A1000, 0)
),
""))</f>
        <v/>
      </c>
    </row>
    <row r="532">
      <c r="Z532" s="8" t="str">
        <f t="array" ref="Z532">IF(A532="","",
IFERROR(
INDEX('혈맹원 정보'!E$2:E1000,
MATCH(A532, '혈맹원 정보'!A$2:A1000, 0)
),
""))</f>
        <v/>
      </c>
    </row>
    <row r="533">
      <c r="Z533" s="8" t="str">
        <f t="array" ref="Z533">IF(A533="","",
IFERROR(
INDEX('혈맹원 정보'!E$2:E1000,
MATCH(A533, '혈맹원 정보'!A$2:A1000, 0)
),
""))</f>
        <v/>
      </c>
    </row>
    <row r="534">
      <c r="Z534" s="8" t="str">
        <f t="array" ref="Z534">IF(A534="","",
IFERROR(
INDEX('혈맹원 정보'!E$2:E1000,
MATCH(A534, '혈맹원 정보'!A$2:A1000, 0)
),
""))</f>
        <v/>
      </c>
    </row>
    <row r="535">
      <c r="Z535" s="8" t="str">
        <f t="array" ref="Z535">IF(A535="","",
IFERROR(
INDEX('혈맹원 정보'!E$2:E1000,
MATCH(A535, '혈맹원 정보'!A$2:A1000, 0)
),
""))</f>
        <v/>
      </c>
    </row>
    <row r="536">
      <c r="Z536" s="8" t="str">
        <f t="array" ref="Z536">IF(A536="","",
IFERROR(
INDEX('혈맹원 정보'!E$2:E1000,
MATCH(A536, '혈맹원 정보'!A$2:A1000, 0)
),
""))</f>
        <v/>
      </c>
    </row>
    <row r="537">
      <c r="Z537" s="8" t="str">
        <f t="array" ref="Z537">IF(A537="","",
IFERROR(
INDEX('혈맹원 정보'!E$2:E1000,
MATCH(A537, '혈맹원 정보'!A$2:A1000, 0)
),
""))</f>
        <v/>
      </c>
    </row>
    <row r="538">
      <c r="Z538" s="8" t="str">
        <f t="array" ref="Z538">IF(A538="","",
IFERROR(
INDEX('혈맹원 정보'!E$2:E1000,
MATCH(A538, '혈맹원 정보'!A$2:A1000, 0)
),
""))</f>
        <v/>
      </c>
    </row>
    <row r="539">
      <c r="Z539" s="8" t="str">
        <f t="array" ref="Z539">IF(A539="","",
IFERROR(
INDEX('혈맹원 정보'!E$2:E1000,
MATCH(A539, '혈맹원 정보'!A$2:A1000, 0)
),
""))</f>
        <v/>
      </c>
    </row>
    <row r="540">
      <c r="Z540" s="8" t="str">
        <f t="array" ref="Z540">IF(A540="","",
IFERROR(
INDEX('혈맹원 정보'!E$2:E1000,
MATCH(A540, '혈맹원 정보'!A$2:A1000, 0)
),
""))</f>
        <v/>
      </c>
    </row>
    <row r="541">
      <c r="Z541" s="8" t="str">
        <f t="array" ref="Z541">IF(A541="","",
IFERROR(
INDEX('혈맹원 정보'!E$2:E1000,
MATCH(A541, '혈맹원 정보'!A$2:A1000, 0)
),
""))</f>
        <v/>
      </c>
    </row>
    <row r="542">
      <c r="Z542" s="8" t="str">
        <f t="array" ref="Z542">IF(A542="","",
IFERROR(
INDEX('혈맹원 정보'!E$2:E1000,
MATCH(A542, '혈맹원 정보'!A$2:A1000, 0)
),
""))</f>
        <v/>
      </c>
    </row>
    <row r="543">
      <c r="Z543" s="8" t="str">
        <f t="array" ref="Z543">IF(A543="","",
IFERROR(
INDEX('혈맹원 정보'!E$2:E1000,
MATCH(A543, '혈맹원 정보'!A$2:A1000, 0)
),
""))</f>
        <v/>
      </c>
    </row>
    <row r="544">
      <c r="Z544" s="8" t="str">
        <f t="array" ref="Z544">IF(A544="","",
IFERROR(
INDEX('혈맹원 정보'!E$2:E1000,
MATCH(A544, '혈맹원 정보'!A$2:A1000, 0)
),
""))</f>
        <v/>
      </c>
    </row>
    <row r="545">
      <c r="Z545" s="8" t="str">
        <f t="array" ref="Z545">IF(A545="","",
IFERROR(
INDEX('혈맹원 정보'!E$2:E1000,
MATCH(A545, '혈맹원 정보'!A$2:A1000, 0)
),
""))</f>
        <v/>
      </c>
    </row>
    <row r="546">
      <c r="Z546" s="8" t="str">
        <f t="array" ref="Z546">IF(A546="","",
IFERROR(
INDEX('혈맹원 정보'!E$2:E1000,
MATCH(A546, '혈맹원 정보'!A$2:A1000, 0)
),
""))</f>
        <v/>
      </c>
    </row>
    <row r="547">
      <c r="Z547" s="8" t="str">
        <f t="array" ref="Z547">IF(A547="","",
IFERROR(
INDEX('혈맹원 정보'!E$2:E1000,
MATCH(A547, '혈맹원 정보'!A$2:A1000, 0)
),
""))</f>
        <v/>
      </c>
    </row>
    <row r="548">
      <c r="Z548" s="8" t="str">
        <f t="array" ref="Z548">IF(A548="","",
IFERROR(
INDEX('혈맹원 정보'!E$2:E1000,
MATCH(A548, '혈맹원 정보'!A$2:A1000, 0)
),
""))</f>
        <v/>
      </c>
    </row>
    <row r="549">
      <c r="Z549" s="8" t="str">
        <f t="array" ref="Z549">IF(A549="","",
IFERROR(
INDEX('혈맹원 정보'!E$2:E1000,
MATCH(A549, '혈맹원 정보'!A$2:A1000, 0)
),
""))</f>
        <v/>
      </c>
    </row>
    <row r="550">
      <c r="Z550" s="8" t="str">
        <f t="array" ref="Z550">IF(A550="","",
IFERROR(
INDEX('혈맹원 정보'!E$2:E1000,
MATCH(A550, '혈맹원 정보'!A$2:A1000, 0)
),
""))</f>
        <v/>
      </c>
    </row>
    <row r="551">
      <c r="Z551" s="8" t="str">
        <f t="array" ref="Z551">IF(A551="","",
IFERROR(
INDEX('혈맹원 정보'!E$2:E1000,
MATCH(A551, '혈맹원 정보'!A$2:A1000, 0)
),
""))</f>
        <v/>
      </c>
    </row>
    <row r="552">
      <c r="Z552" s="8" t="str">
        <f t="array" ref="Z552">IF(A552="","",
IFERROR(
INDEX('혈맹원 정보'!E$2:E1000,
MATCH(A552, '혈맹원 정보'!A$2:A1000, 0)
),
""))</f>
        <v/>
      </c>
    </row>
    <row r="553">
      <c r="Z553" s="8" t="str">
        <f t="array" ref="Z553">IF(A553="","",
IFERROR(
INDEX('혈맹원 정보'!E$2:E1000,
MATCH(A553, '혈맹원 정보'!A$2:A1000, 0)
),
""))</f>
        <v/>
      </c>
    </row>
    <row r="554">
      <c r="Z554" s="8" t="str">
        <f t="array" ref="Z554">IF(A554="","",
IFERROR(
INDEX('혈맹원 정보'!E$2:E1000,
MATCH(A554, '혈맹원 정보'!A$2:A1000, 0)
),
""))</f>
        <v/>
      </c>
    </row>
  </sheetData>
  <mergeCells count="5">
    <mergeCell ref="G2:H3"/>
    <mergeCell ref="I2:M3"/>
    <mergeCell ref="G6:H7"/>
    <mergeCell ref="G8:H9"/>
    <mergeCell ref="G10:H11"/>
  </mergeCells>
  <conditionalFormatting sqref="D1:D174">
    <cfRule type="cellIs" dxfId="5" priority="1" operator="lessThanOrEqual">
      <formula>0.3</formula>
    </cfRule>
  </conditionalFormatting>
  <conditionalFormatting sqref="D1:D174">
    <cfRule type="cellIs" dxfId="6" priority="2" operator="greaterThanOrEqual">
      <formula>0.8</formula>
    </cfRule>
  </conditionalFormatting>
  <conditionalFormatting sqref="D7">
    <cfRule type="cellIs" dxfId="7" priority="3" operator="between">
      <formula>0.31</formula>
      <formula>0.79</formula>
    </cfRule>
  </conditionalFormatting>
  <conditionalFormatting sqref="J10">
    <cfRule type="colorScale" priority="4">
      <colorScale>
        <cfvo type="min"/>
        <cfvo type="max"/>
        <color rgb="FFFFFFFF"/>
        <color rgb="FF57BB8A"/>
      </colorScale>
    </cfRule>
  </conditionalFormatting>
  <conditionalFormatting sqref="D1:D1000">
    <cfRule type="cellIs" dxfId="8" priority="5" operator="between">
      <formula>0.3</formula>
      <formula>0.8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9" t="s">
        <v>10</v>
      </c>
      <c r="D1" s="40" t="s">
        <v>19</v>
      </c>
      <c r="G1" s="41" t="s">
        <v>14</v>
      </c>
      <c r="J1" s="42" t="s">
        <v>171</v>
      </c>
      <c r="L1" s="43"/>
    </row>
    <row r="2">
      <c r="A2" s="44" t="str">
        <f>IFERROR(__xludf.DUMMYFUNCTION("SORT(
  FILTER({'보탐 참여율'!A:A, '보탐 참여율'!D:D},
  '보탐 참여율'!E:E=""기사""),
2, FALSE)"),"개백수")</f>
        <v>개백수</v>
      </c>
      <c r="B2" s="29">
        <f>IFERROR(__xludf.DUMMYFUNCTION("""COMPUTED_VALUE"""),0.35492957746478876)</f>
        <v>0.3549295775</v>
      </c>
      <c r="C2" s="29"/>
      <c r="D2" s="45" t="str">
        <f>IFERROR(__xludf.DUMMYFUNCTION("SORT(
  FILTER({'보탐 참여율'!A:A, '보탐 참여율'!D:D},
  '보탐 참여율'!E:E=""요정""),
2, FALSE)"),"하아이")</f>
        <v>하아이</v>
      </c>
      <c r="E2" s="29">
        <f>IFERROR(__xludf.DUMMYFUNCTION("""COMPUTED_VALUE"""),0.5577464788732395)</f>
        <v>0.5577464789</v>
      </c>
      <c r="F2" s="29"/>
      <c r="G2" s="45" t="str">
        <f>IFERROR(__xludf.DUMMYFUNCTION("SORT(
  FILTER({'보탐 참여율'!A:A, '보탐 참여율'!D:D},
  '보탐 참여율'!E:E=""마법사""),
2, FALSE)"),"스타1")</f>
        <v>스타1</v>
      </c>
      <c r="H2" s="29">
        <f>IFERROR(__xludf.DUMMYFUNCTION("""COMPUTED_VALUE"""),0.4140845070422535)</f>
        <v>0.414084507</v>
      </c>
      <c r="I2" s="29"/>
      <c r="L2" s="43"/>
    </row>
    <row r="3">
      <c r="A3" s="46" t="str">
        <f>IFERROR(__xludf.DUMMYFUNCTION("""COMPUTED_VALUE"""),"드레이크1")</f>
        <v>드레이크1</v>
      </c>
      <c r="B3" s="29">
        <f>IFERROR(__xludf.DUMMYFUNCTION("""COMPUTED_VALUE"""),0.30985915492957744)</f>
        <v>0.3098591549</v>
      </c>
      <c r="C3" s="29"/>
      <c r="D3" s="47" t="str">
        <f>IFERROR(__xludf.DUMMYFUNCTION("""COMPUTED_VALUE"""),"최선미")</f>
        <v>최선미</v>
      </c>
      <c r="E3" s="29">
        <f>IFERROR(__xludf.DUMMYFUNCTION("""COMPUTED_VALUE"""),0.5352112676056338)</f>
        <v>0.5352112676</v>
      </c>
      <c r="F3" s="29"/>
      <c r="G3" s="47" t="str">
        <f>IFERROR(__xludf.DUMMYFUNCTION("""COMPUTED_VALUE"""),"유니세프")</f>
        <v>유니세프</v>
      </c>
      <c r="H3" s="29">
        <f>IFERROR(__xludf.DUMMYFUNCTION("""COMPUTED_VALUE"""),0.2647887323943662)</f>
        <v>0.2647887324</v>
      </c>
      <c r="I3" s="29"/>
      <c r="L3" s="43"/>
    </row>
    <row r="4">
      <c r="A4" s="48" t="str">
        <f>IFERROR(__xludf.DUMMYFUNCTION("""COMPUTED_VALUE"""),"자자")</f>
        <v>자자</v>
      </c>
      <c r="B4" s="29">
        <f>IFERROR(__xludf.DUMMYFUNCTION("""COMPUTED_VALUE"""),0.22253521126760564)</f>
        <v>0.2225352113</v>
      </c>
      <c r="C4" s="29"/>
      <c r="D4" s="48" t="str">
        <f>IFERROR(__xludf.DUMMYFUNCTION("""COMPUTED_VALUE"""),"ECO")</f>
        <v>ECO</v>
      </c>
      <c r="E4" s="29">
        <f>IFERROR(__xludf.DUMMYFUNCTION("""COMPUTED_VALUE"""),0.5154929577464789)</f>
        <v>0.5154929577</v>
      </c>
      <c r="F4" s="29"/>
      <c r="G4" s="48" t="str">
        <f>IFERROR(__xludf.DUMMYFUNCTION("""COMPUTED_VALUE"""),"시드랏슈")</f>
        <v>시드랏슈</v>
      </c>
      <c r="H4" s="29">
        <f>IFERROR(__xludf.DUMMYFUNCTION("""COMPUTED_VALUE"""),0.2591549295774648)</f>
        <v>0.2591549296</v>
      </c>
      <c r="I4" s="29"/>
      <c r="J4" s="43"/>
      <c r="K4" s="43"/>
      <c r="L4" s="43"/>
    </row>
    <row r="5">
      <c r="A5" s="29" t="str">
        <f>IFERROR(__xludf.DUMMYFUNCTION("""COMPUTED_VALUE"""),"비에고")</f>
        <v>비에고</v>
      </c>
      <c r="B5" s="29">
        <f>IFERROR(__xludf.DUMMYFUNCTION("""COMPUTED_VALUE"""),0.11830985915492957)</f>
        <v>0.1183098592</v>
      </c>
      <c r="C5" s="29"/>
      <c r="D5" s="29" t="str">
        <f>IFERROR(__xludf.DUMMYFUNCTION("""COMPUTED_VALUE"""),"OSAKA")</f>
        <v>OSAKA</v>
      </c>
      <c r="E5" s="29">
        <f>IFERROR(__xludf.DUMMYFUNCTION("""COMPUTED_VALUE"""),0.48732394366197185)</f>
        <v>0.4873239437</v>
      </c>
      <c r="F5" s="29"/>
      <c r="G5" s="29" t="str">
        <f>IFERROR(__xludf.DUMMYFUNCTION("""COMPUTED_VALUE"""),"김현지")</f>
        <v>김현지</v>
      </c>
      <c r="H5" s="29">
        <f>IFERROR(__xludf.DUMMYFUNCTION("""COMPUTED_VALUE"""),0.22253521126760564)</f>
        <v>0.2225352113</v>
      </c>
      <c r="I5" s="29"/>
      <c r="J5" s="43"/>
      <c r="K5" s="43"/>
      <c r="L5" s="43"/>
    </row>
    <row r="6">
      <c r="A6" s="29" t="str">
        <f>IFERROR(__xludf.DUMMYFUNCTION("""COMPUTED_VALUE"""),"덱스")</f>
        <v>덱스</v>
      </c>
      <c r="B6" s="29">
        <f>IFERROR(__xludf.DUMMYFUNCTION("""COMPUTED_VALUE"""),0.10704225352112676)</f>
        <v>0.1070422535</v>
      </c>
      <c r="C6" s="29"/>
      <c r="D6" s="29" t="str">
        <f>IFERROR(__xludf.DUMMYFUNCTION("""COMPUTED_VALUE"""),"주짱")</f>
        <v>주짱</v>
      </c>
      <c r="E6" s="29">
        <f>IFERROR(__xludf.DUMMYFUNCTION("""COMPUTED_VALUE"""),0.4732394366197183)</f>
        <v>0.4732394366</v>
      </c>
      <c r="F6" s="29"/>
      <c r="G6" s="29" t="str">
        <f>IFERROR(__xludf.DUMMYFUNCTION("""COMPUTED_VALUE"""),"두둥탁")</f>
        <v>두둥탁</v>
      </c>
      <c r="H6" s="29">
        <f>IFERROR(__xludf.DUMMYFUNCTION("""COMPUTED_VALUE"""),0.14929577464788732)</f>
        <v>0.1492957746</v>
      </c>
      <c r="I6" s="29"/>
    </row>
    <row r="7">
      <c r="A7" s="29" t="str">
        <f>IFERROR(__xludf.DUMMYFUNCTION("""COMPUTED_VALUE"""),"꽃냥")</f>
        <v>꽃냥</v>
      </c>
      <c r="B7" s="29">
        <f>IFERROR(__xludf.DUMMYFUNCTION("""COMPUTED_VALUE"""),0.09577464788732394)</f>
        <v>0.09577464789</v>
      </c>
      <c r="C7" s="29"/>
      <c r="D7" s="29" t="str">
        <f>IFERROR(__xludf.DUMMYFUNCTION("""COMPUTED_VALUE"""),"대곡주")</f>
        <v>대곡주</v>
      </c>
      <c r="E7" s="29">
        <f>IFERROR(__xludf.DUMMYFUNCTION("""COMPUTED_VALUE"""),0.4450704225352113)</f>
        <v>0.4450704225</v>
      </c>
      <c r="F7" s="29"/>
      <c r="G7" s="29" t="str">
        <f>IFERROR(__xludf.DUMMYFUNCTION("""COMPUTED_VALUE"""),"뱀")</f>
        <v>뱀</v>
      </c>
      <c r="H7" s="29">
        <f>IFERROR(__xludf.DUMMYFUNCTION("""COMPUTED_VALUE"""),0.04788732394366197)</f>
        <v>0.04788732394</v>
      </c>
      <c r="I7" s="29"/>
    </row>
    <row r="8">
      <c r="A8" s="29" t="str">
        <f>IFERROR(__xludf.DUMMYFUNCTION("""COMPUTED_VALUE"""),"드레이크")</f>
        <v>드레이크</v>
      </c>
      <c r="B8" s="29">
        <f>IFERROR(__xludf.DUMMYFUNCTION("""COMPUTED_VALUE"""),0.03943661971830986)</f>
        <v>0.03943661972</v>
      </c>
      <c r="C8" s="29"/>
      <c r="D8" s="29" t="str">
        <f>IFERROR(__xludf.DUMMYFUNCTION("""COMPUTED_VALUE"""),"신문")</f>
        <v>신문</v>
      </c>
      <c r="E8" s="29">
        <f>IFERROR(__xludf.DUMMYFUNCTION("""COMPUTED_VALUE"""),0.4056338028169014)</f>
        <v>0.4056338028</v>
      </c>
      <c r="F8" s="29"/>
      <c r="G8" s="29" t="str">
        <f>IFERROR(__xludf.DUMMYFUNCTION("""COMPUTED_VALUE"""),"어쩐지")</f>
        <v>어쩐지</v>
      </c>
      <c r="H8" s="29">
        <f>IFERROR(__xludf.DUMMYFUNCTION("""COMPUTED_VALUE"""),0.04225352112676056)</f>
        <v>0.04225352113</v>
      </c>
      <c r="I8" s="29"/>
    </row>
    <row r="9">
      <c r="A9" s="29" t="str">
        <f>IFERROR(__xludf.DUMMYFUNCTION("""COMPUTED_VALUE"""),"최민우")</f>
        <v>최민우</v>
      </c>
      <c r="B9" s="29">
        <f>IFERROR(__xludf.DUMMYFUNCTION("""COMPUTED_VALUE"""),0.030985915492957747)</f>
        <v>0.03098591549</v>
      </c>
      <c r="C9" s="29"/>
      <c r="D9" s="29" t="str">
        <f>IFERROR(__xludf.DUMMYFUNCTION("""COMPUTED_VALUE"""),"썽이")</f>
        <v>썽이</v>
      </c>
      <c r="E9" s="29">
        <f>IFERROR(__xludf.DUMMYFUNCTION("""COMPUTED_VALUE"""),0.3971830985915493)</f>
        <v>0.3971830986</v>
      </c>
      <c r="F9" s="29"/>
      <c r="G9" s="29" t="str">
        <f>IFERROR(__xludf.DUMMYFUNCTION("""COMPUTED_VALUE"""),"스타")</f>
        <v>스타</v>
      </c>
      <c r="H9" s="29">
        <f>IFERROR(__xludf.DUMMYFUNCTION("""COMPUTED_VALUE"""),0.0)</f>
        <v>0</v>
      </c>
      <c r="I9" s="29"/>
    </row>
    <row r="10">
      <c r="A10" s="29" t="str">
        <f>IFERROR(__xludf.DUMMYFUNCTION("""COMPUTED_VALUE"""),"아스테어")</f>
        <v>아스테어</v>
      </c>
      <c r="B10" s="29">
        <f>IFERROR(__xludf.DUMMYFUNCTION("""COMPUTED_VALUE"""),0.0)</f>
        <v>0</v>
      </c>
      <c r="C10" s="29"/>
      <c r="D10" s="29" t="str">
        <f>IFERROR(__xludf.DUMMYFUNCTION("""COMPUTED_VALUE"""),"팽자")</f>
        <v>팽자</v>
      </c>
      <c r="E10" s="29">
        <f>IFERROR(__xludf.DUMMYFUNCTION("""COMPUTED_VALUE"""),0.37746478873239436)</f>
        <v>0.3774647887</v>
      </c>
      <c r="F10" s="29"/>
      <c r="G10" s="29" t="str">
        <f>IFERROR(__xludf.DUMMYFUNCTION("""COMPUTED_VALUE"""),"시진핑")</f>
        <v>시진핑</v>
      </c>
      <c r="H10" s="29">
        <f>IFERROR(__xludf.DUMMYFUNCTION("""COMPUTED_VALUE"""),0.0)</f>
        <v>0</v>
      </c>
      <c r="I10" s="29"/>
    </row>
    <row r="11">
      <c r="A11" s="29" t="str">
        <f>IFERROR(__xludf.DUMMYFUNCTION("""COMPUTED_VALUE"""),"역도")</f>
        <v>역도</v>
      </c>
      <c r="B11" s="29">
        <f>IFERROR(__xludf.DUMMYFUNCTION("""COMPUTED_VALUE"""),0.0)</f>
        <v>0</v>
      </c>
      <c r="C11" s="29"/>
      <c r="D11" s="29" t="str">
        <f>IFERROR(__xludf.DUMMYFUNCTION("""COMPUTED_VALUE"""),"레오나르도")</f>
        <v>레오나르도</v>
      </c>
      <c r="E11" s="29">
        <f>IFERROR(__xludf.DUMMYFUNCTION("""COMPUTED_VALUE"""),0.3323943661971831)</f>
        <v>0.3323943662</v>
      </c>
      <c r="F11" s="29"/>
      <c r="G11" s="29" t="str">
        <f>IFERROR(__xludf.DUMMYFUNCTION("""COMPUTED_VALUE"""),"에바")</f>
        <v>에바</v>
      </c>
      <c r="H11" s="29">
        <f>IFERROR(__xludf.DUMMYFUNCTION("""COMPUTED_VALUE"""),0.0)</f>
        <v>0</v>
      </c>
      <c r="I11" s="29"/>
    </row>
    <row r="12">
      <c r="A12" s="29" t="str">
        <f>IFERROR(__xludf.DUMMYFUNCTION("""COMPUTED_VALUE"""),"이중")</f>
        <v>이중</v>
      </c>
      <c r="B12" s="29">
        <f>IFERROR(__xludf.DUMMYFUNCTION("""COMPUTED_VALUE"""),0.0)</f>
        <v>0</v>
      </c>
      <c r="C12" s="29"/>
      <c r="D12" s="29" t="str">
        <f>IFERROR(__xludf.DUMMYFUNCTION("""COMPUTED_VALUE"""),"세이버")</f>
        <v>세이버</v>
      </c>
      <c r="E12" s="29">
        <f>IFERROR(__xludf.DUMMYFUNCTION("""COMPUTED_VALUE"""),0.3295774647887324)</f>
        <v>0.3295774648</v>
      </c>
      <c r="F12" s="29"/>
      <c r="G12" s="29" t="str">
        <f>IFERROR(__xludf.DUMMYFUNCTION("""COMPUTED_VALUE"""),"잭스")</f>
        <v>잭스</v>
      </c>
      <c r="H12" s="29">
        <f>IFERROR(__xludf.DUMMYFUNCTION("""COMPUTED_VALUE"""),0.0)</f>
        <v>0</v>
      </c>
      <c r="I12" s="29"/>
    </row>
    <row r="13">
      <c r="A13" s="29"/>
      <c r="B13" s="29"/>
      <c r="C13" s="29"/>
      <c r="D13" s="29" t="str">
        <f>IFERROR(__xludf.DUMMYFUNCTION("""COMPUTED_VALUE"""),"두끗")</f>
        <v>두끗</v>
      </c>
      <c r="E13" s="29">
        <f>IFERROR(__xludf.DUMMYFUNCTION("""COMPUTED_VALUE"""),0.28169014084507044)</f>
        <v>0.2816901408</v>
      </c>
      <c r="F13" s="29"/>
      <c r="G13" s="29" t="str">
        <f>IFERROR(__xludf.DUMMYFUNCTION("""COMPUTED_VALUE"""),"전생")</f>
        <v>전생</v>
      </c>
      <c r="H13" s="29">
        <f>IFERROR(__xludf.DUMMYFUNCTION("""COMPUTED_VALUE"""),0.0)</f>
        <v>0</v>
      </c>
      <c r="I13" s="29"/>
    </row>
    <row r="14">
      <c r="A14" s="29"/>
      <c r="B14" s="29"/>
      <c r="C14" s="29"/>
      <c r="D14" s="29" t="str">
        <f>IFERROR(__xludf.DUMMYFUNCTION("""COMPUTED_VALUE"""),"밀떡")</f>
        <v>밀떡</v>
      </c>
      <c r="E14" s="29">
        <f>IFERROR(__xludf.DUMMYFUNCTION("""COMPUTED_VALUE"""),0.27605633802816903)</f>
        <v>0.276056338</v>
      </c>
      <c r="F14" s="29"/>
      <c r="G14" s="49" t="str">
        <f>IFERROR(__xludf.DUMMYFUNCTION("""COMPUTED_VALUE"""),"턳")</f>
        <v>턳</v>
      </c>
      <c r="H14" s="49">
        <f>IFERROR(__xludf.DUMMYFUNCTION("""COMPUTED_VALUE"""),0.0)</f>
        <v>0</v>
      </c>
      <c r="I14" s="29"/>
    </row>
    <row r="15">
      <c r="A15" s="29"/>
      <c r="B15" s="29"/>
      <c r="C15" s="29"/>
      <c r="D15" s="29" t="str">
        <f>IFERROR(__xludf.DUMMYFUNCTION("""COMPUTED_VALUE"""),"악당")</f>
        <v>악당</v>
      </c>
      <c r="E15" s="29">
        <f>IFERROR(__xludf.DUMMYFUNCTION("""COMPUTED_VALUE"""),0.2619718309859155)</f>
        <v>0.261971831</v>
      </c>
      <c r="F15" s="29"/>
      <c r="G15" s="29"/>
      <c r="H15" s="29"/>
      <c r="I15" s="29"/>
    </row>
    <row r="16">
      <c r="A16" s="29"/>
      <c r="B16" s="29"/>
      <c r="C16" s="29"/>
      <c r="D16" s="29" t="str">
        <f>IFERROR(__xludf.DUMMYFUNCTION("""COMPUTED_VALUE"""),"악당1")</f>
        <v>악당1</v>
      </c>
      <c r="E16" s="29">
        <f>IFERROR(__xludf.DUMMYFUNCTION("""COMPUTED_VALUE"""),0.2619718309859155)</f>
        <v>0.261971831</v>
      </c>
      <c r="F16" s="29"/>
      <c r="G16" s="29"/>
      <c r="H16" s="29"/>
      <c r="I16" s="29"/>
    </row>
    <row r="17">
      <c r="A17" s="29"/>
      <c r="B17" s="29"/>
      <c r="C17" s="29"/>
      <c r="D17" s="29" t="str">
        <f>IFERROR(__xludf.DUMMYFUNCTION("""COMPUTED_VALUE"""),"쥬드")</f>
        <v>쥬드</v>
      </c>
      <c r="E17" s="29">
        <f>IFERROR(__xludf.DUMMYFUNCTION("""COMPUTED_VALUE"""),0.2591549295774648)</f>
        <v>0.2591549296</v>
      </c>
      <c r="F17" s="29"/>
      <c r="G17" s="29"/>
      <c r="H17" s="29"/>
      <c r="I17" s="29"/>
    </row>
    <row r="18">
      <c r="A18" s="29"/>
      <c r="B18" s="29"/>
      <c r="C18" s="29"/>
      <c r="D18" s="29" t="str">
        <f>IFERROR(__xludf.DUMMYFUNCTION("""COMPUTED_VALUE"""),"세끗")</f>
        <v>세끗</v>
      </c>
      <c r="E18" s="29">
        <f>IFERROR(__xludf.DUMMYFUNCTION("""COMPUTED_VALUE"""),0.23380281690140844)</f>
        <v>0.2338028169</v>
      </c>
      <c r="F18" s="29"/>
      <c r="G18" s="49"/>
      <c r="H18" s="29"/>
      <c r="I18" s="29"/>
    </row>
    <row r="19">
      <c r="A19" s="29"/>
      <c r="B19" s="29"/>
      <c r="C19" s="29"/>
      <c r="D19" s="29" t="str">
        <f>IFERROR(__xludf.DUMMYFUNCTION("""COMPUTED_VALUE"""),"민창")</f>
        <v>민창</v>
      </c>
      <c r="E19" s="29">
        <f>IFERROR(__xludf.DUMMYFUNCTION("""COMPUTED_VALUE"""),0.22535211267605634)</f>
        <v>0.2253521127</v>
      </c>
      <c r="F19" s="29"/>
      <c r="G19" s="29"/>
      <c r="H19" s="29"/>
      <c r="I19" s="29"/>
    </row>
    <row r="20">
      <c r="A20" s="29"/>
      <c r="B20" s="29"/>
      <c r="C20" s="29"/>
      <c r="D20" s="29" t="str">
        <f>IFERROR(__xludf.DUMMYFUNCTION("""COMPUTED_VALUE"""),"한끗")</f>
        <v>한끗</v>
      </c>
      <c r="E20" s="29">
        <f>IFERROR(__xludf.DUMMYFUNCTION("""COMPUTED_VALUE"""),0.22253521126760564)</f>
        <v>0.2225352113</v>
      </c>
      <c r="F20" s="29"/>
      <c r="G20" s="29"/>
      <c r="H20" s="29"/>
      <c r="I20" s="29"/>
    </row>
    <row r="21">
      <c r="A21" s="29"/>
      <c r="B21" s="29"/>
      <c r="C21" s="29"/>
      <c r="D21" s="29" t="str">
        <f>IFERROR(__xludf.DUMMYFUNCTION("""COMPUTED_VALUE"""),"닥스")</f>
        <v>닥스</v>
      </c>
      <c r="E21" s="29">
        <f>IFERROR(__xludf.DUMMYFUNCTION("""COMPUTED_VALUE"""),0.2140845070422535)</f>
        <v>0.214084507</v>
      </c>
      <c r="F21" s="29"/>
      <c r="G21" s="29"/>
      <c r="H21" s="29"/>
      <c r="I21" s="29"/>
    </row>
    <row r="22">
      <c r="A22" s="29"/>
      <c r="B22" s="29"/>
      <c r="C22" s="29"/>
      <c r="D22" s="29" t="str">
        <f>IFERROR(__xludf.DUMMYFUNCTION("""COMPUTED_VALUE"""),"화장실")</f>
        <v>화장실</v>
      </c>
      <c r="E22" s="29">
        <f>IFERROR(__xludf.DUMMYFUNCTION("""COMPUTED_VALUE"""),0.18591549295774648)</f>
        <v>0.185915493</v>
      </c>
      <c r="F22" s="29"/>
      <c r="G22" s="29"/>
      <c r="H22" s="29"/>
      <c r="I22" s="29"/>
    </row>
    <row r="23">
      <c r="A23" s="29"/>
      <c r="B23" s="29"/>
      <c r="C23" s="29"/>
      <c r="D23" s="29" t="str">
        <f>IFERROR(__xludf.DUMMYFUNCTION("""COMPUTED_VALUE"""),"당구장")</f>
        <v>당구장</v>
      </c>
      <c r="E23" s="29">
        <f>IFERROR(__xludf.DUMMYFUNCTION("""COMPUTED_VALUE"""),0.16619718309859155)</f>
        <v>0.1661971831</v>
      </c>
      <c r="F23" s="29"/>
      <c r="G23" s="29"/>
      <c r="H23" s="29"/>
      <c r="I23" s="29"/>
    </row>
    <row r="24">
      <c r="A24" s="29"/>
      <c r="B24" s="29"/>
      <c r="C24" s="29"/>
      <c r="D24" s="29" t="str">
        <f>IFERROR(__xludf.DUMMYFUNCTION("""COMPUTED_VALUE"""),"또가스")</f>
        <v>또가스</v>
      </c>
      <c r="E24" s="29">
        <f>IFERROR(__xludf.DUMMYFUNCTION("""COMPUTED_VALUE"""),0.16338028169014085)</f>
        <v>0.1633802817</v>
      </c>
      <c r="F24" s="29"/>
      <c r="G24" s="29"/>
      <c r="H24" s="29"/>
      <c r="I24" s="29"/>
    </row>
    <row r="25">
      <c r="A25" s="29"/>
      <c r="B25" s="29"/>
      <c r="C25" s="29"/>
      <c r="D25" s="29" t="str">
        <f>IFERROR(__xludf.DUMMYFUNCTION("""COMPUTED_VALUE"""),"얼음여왕")</f>
        <v>얼음여왕</v>
      </c>
      <c r="E25" s="29">
        <f>IFERROR(__xludf.DUMMYFUNCTION("""COMPUTED_VALUE"""),0.11549295774647887)</f>
        <v>0.1154929577</v>
      </c>
      <c r="F25" s="29"/>
      <c r="G25" s="29"/>
      <c r="H25" s="29"/>
      <c r="I25" s="29"/>
    </row>
    <row r="26">
      <c r="A26" s="29"/>
      <c r="B26" s="29"/>
      <c r="C26" s="29"/>
      <c r="D26" s="29" t="str">
        <f>IFERROR(__xludf.DUMMYFUNCTION("""COMPUTED_VALUE"""),"쌀떡")</f>
        <v>쌀떡</v>
      </c>
      <c r="E26" s="29">
        <f>IFERROR(__xludf.DUMMYFUNCTION("""COMPUTED_VALUE"""),0.08450704225352113)</f>
        <v>0.08450704225</v>
      </c>
      <c r="F26" s="29"/>
      <c r="G26" s="29"/>
      <c r="H26" s="29"/>
      <c r="I26" s="29"/>
    </row>
    <row r="27">
      <c r="A27" s="29"/>
      <c r="B27" s="29"/>
      <c r="C27" s="29"/>
      <c r="D27" s="29" t="str">
        <f>IFERROR(__xludf.DUMMYFUNCTION("""COMPUTED_VALUE"""),"쌀떡")</f>
        <v>쌀떡</v>
      </c>
      <c r="E27" s="29">
        <f>IFERROR(__xludf.DUMMYFUNCTION("""COMPUTED_VALUE"""),0.08450704225352113)</f>
        <v>0.08450704225</v>
      </c>
      <c r="F27" s="29"/>
      <c r="G27" s="29"/>
      <c r="H27" s="29"/>
      <c r="I27" s="29"/>
    </row>
    <row r="28">
      <c r="A28" s="29"/>
      <c r="B28" s="29"/>
      <c r="C28" s="29"/>
      <c r="D28" s="29" t="str">
        <f>IFERROR(__xludf.DUMMYFUNCTION("""COMPUTED_VALUE"""),"다뢰")</f>
        <v>다뢰</v>
      </c>
      <c r="E28" s="29">
        <f>IFERROR(__xludf.DUMMYFUNCTION("""COMPUTED_VALUE"""),0.07323943661971831)</f>
        <v>0.07323943662</v>
      </c>
      <c r="F28" s="29"/>
      <c r="G28" s="29"/>
      <c r="H28" s="29"/>
      <c r="I28" s="29"/>
    </row>
    <row r="29">
      <c r="A29" s="29"/>
      <c r="B29" s="29"/>
      <c r="C29" s="29"/>
      <c r="D29" s="29" t="str">
        <f>IFERROR(__xludf.DUMMYFUNCTION("""COMPUTED_VALUE"""),"새롬")</f>
        <v>새롬</v>
      </c>
      <c r="E29" s="29">
        <f>IFERROR(__xludf.DUMMYFUNCTION("""COMPUTED_VALUE"""),0.07323943661971831)</f>
        <v>0.07323943662</v>
      </c>
      <c r="F29" s="29"/>
      <c r="G29" s="29"/>
      <c r="H29" s="29"/>
      <c r="I29" s="29"/>
    </row>
    <row r="30">
      <c r="A30" s="29"/>
      <c r="B30" s="29"/>
      <c r="C30" s="29"/>
      <c r="D30" s="29" t="str">
        <f>IFERROR(__xludf.DUMMYFUNCTION("""COMPUTED_VALUE"""),"윤짱")</f>
        <v>윤짱</v>
      </c>
      <c r="E30" s="29">
        <f>IFERROR(__xludf.DUMMYFUNCTION("""COMPUTED_VALUE"""),0.04225352112676056)</f>
        <v>0.04225352113</v>
      </c>
      <c r="F30" s="29"/>
      <c r="G30" s="29"/>
      <c r="H30" s="29"/>
      <c r="I30" s="29"/>
    </row>
    <row r="31">
      <c r="A31" s="29"/>
      <c r="B31" s="29"/>
      <c r="C31" s="29"/>
      <c r="D31" s="29" t="str">
        <f>IFERROR(__xludf.DUMMYFUNCTION("""COMPUTED_VALUE"""),"자자1")</f>
        <v>자자1</v>
      </c>
      <c r="E31" s="29">
        <f>IFERROR(__xludf.DUMMYFUNCTION("""COMPUTED_VALUE"""),0.028169014084507043)</f>
        <v>0.02816901408</v>
      </c>
      <c r="F31" s="29"/>
      <c r="G31" s="29"/>
      <c r="H31" s="29"/>
      <c r="I31" s="29"/>
    </row>
    <row r="32">
      <c r="A32" s="29"/>
      <c r="B32" s="29"/>
      <c r="C32" s="29"/>
      <c r="D32" s="29" t="str">
        <f>IFERROR(__xludf.DUMMYFUNCTION("""COMPUTED_VALUE"""),"해하")</f>
        <v>해하</v>
      </c>
      <c r="E32" s="29">
        <f>IFERROR(__xludf.DUMMYFUNCTION("""COMPUTED_VALUE"""),0.022535211267605635)</f>
        <v>0.02253521127</v>
      </c>
      <c r="F32" s="29"/>
      <c r="G32" s="29"/>
      <c r="H32" s="29"/>
      <c r="I32" s="29"/>
    </row>
    <row r="33">
      <c r="A33" s="29"/>
      <c r="B33" s="29"/>
      <c r="C33" s="29"/>
      <c r="D33" s="29" t="str">
        <f>IFERROR(__xludf.DUMMYFUNCTION("""COMPUTED_VALUE"""),"졋탱")</f>
        <v>졋탱</v>
      </c>
      <c r="E33" s="29">
        <f>IFERROR(__xludf.DUMMYFUNCTION("""COMPUTED_VALUE"""),0.008450704225352112)</f>
        <v>0.008450704225</v>
      </c>
      <c r="F33" s="29"/>
      <c r="G33" s="29"/>
      <c r="H33" s="29"/>
      <c r="I33" s="29"/>
    </row>
    <row r="34">
      <c r="A34" s="29"/>
      <c r="B34" s="29"/>
      <c r="C34" s="29"/>
      <c r="D34" s="29" t="str">
        <f>IFERROR(__xludf.DUMMYFUNCTION("""COMPUTED_VALUE"""),"복식")</f>
        <v>복식</v>
      </c>
      <c r="E34" s="29">
        <f>IFERROR(__xludf.DUMMYFUNCTION("""COMPUTED_VALUE"""),0.0028169014084507044)</f>
        <v>0.002816901408</v>
      </c>
      <c r="F34" s="29"/>
      <c r="G34" s="29"/>
      <c r="H34" s="29"/>
      <c r="I34" s="29"/>
    </row>
    <row r="35">
      <c r="A35" s="29"/>
      <c r="B35" s="29"/>
      <c r="C35" s="29"/>
      <c r="D35" s="29" t="str">
        <f>IFERROR(__xludf.DUMMYFUNCTION("""COMPUTED_VALUE"""),"쑥떡")</f>
        <v>쑥떡</v>
      </c>
      <c r="E35" s="29">
        <f>IFERROR(__xludf.DUMMYFUNCTION("""COMPUTED_VALUE"""),0.0028169014084507044)</f>
        <v>0.002816901408</v>
      </c>
      <c r="F35" s="29"/>
      <c r="G35" s="29"/>
      <c r="H35" s="29"/>
      <c r="I35" s="29"/>
    </row>
    <row r="36">
      <c r="A36" s="29"/>
      <c r="B36" s="29"/>
      <c r="C36" s="29"/>
      <c r="D36" s="29" t="str">
        <f>IFERROR(__xludf.DUMMYFUNCTION("""COMPUTED_VALUE"""),"스팸라이트")</f>
        <v>스팸라이트</v>
      </c>
      <c r="E36" s="29">
        <f>IFERROR(__xludf.DUMMYFUNCTION("""COMPUTED_VALUE"""),0.0)</f>
        <v>0</v>
      </c>
      <c r="F36" s="29"/>
      <c r="G36" s="29"/>
      <c r="H36" s="29"/>
      <c r="I36" s="29"/>
    </row>
    <row r="37">
      <c r="A37" s="29"/>
      <c r="B37" s="29"/>
      <c r="C37" s="29"/>
      <c r="D37" s="29" t="str">
        <f>IFERROR(__xludf.DUMMYFUNCTION("""COMPUTED_VALUE"""),"요요미")</f>
        <v>요요미</v>
      </c>
      <c r="E37" s="29">
        <f>IFERROR(__xludf.DUMMYFUNCTION("""COMPUTED_VALUE"""),0.0)</f>
        <v>0</v>
      </c>
      <c r="F37" s="29"/>
      <c r="G37" s="29"/>
      <c r="H37" s="29"/>
      <c r="I37" s="29"/>
    </row>
    <row r="38">
      <c r="A38" s="29"/>
      <c r="B38" s="29"/>
      <c r="C38" s="29"/>
      <c r="D38" s="29" t="str">
        <f>IFERROR(__xludf.DUMMYFUNCTION("""COMPUTED_VALUE"""),"육떡")</f>
        <v>육떡</v>
      </c>
      <c r="E38" s="29">
        <f>IFERROR(__xludf.DUMMYFUNCTION("""COMPUTED_VALUE"""),0.0)</f>
        <v>0</v>
      </c>
      <c r="F38" s="29"/>
      <c r="G38" s="29"/>
      <c r="H38" s="29"/>
      <c r="I38" s="29"/>
    </row>
    <row r="39">
      <c r="A39" s="29"/>
      <c r="B39" s="29"/>
      <c r="C39" s="29"/>
      <c r="D39" s="29" t="str">
        <f>IFERROR(__xludf.DUMMYFUNCTION("""COMPUTED_VALUE"""),"파아그리오")</f>
        <v>파아그리오</v>
      </c>
      <c r="E39" s="29">
        <f>IFERROR(__xludf.DUMMYFUNCTION("""COMPUTED_VALUE"""),0.0)</f>
        <v>0</v>
      </c>
      <c r="F39" s="29"/>
      <c r="G39" s="29"/>
      <c r="H39" s="29"/>
      <c r="I39" s="29"/>
    </row>
    <row r="40">
      <c r="A40" s="29"/>
      <c r="B40" s="29"/>
      <c r="C40" s="29"/>
      <c r="D40" s="29"/>
      <c r="E40" s="29"/>
      <c r="F40" s="29"/>
      <c r="G40" s="29"/>
      <c r="H40" s="29"/>
      <c r="I40" s="29"/>
    </row>
    <row r="41">
      <c r="A41" s="29"/>
      <c r="B41" s="29"/>
      <c r="C41" s="29"/>
      <c r="D41" s="29"/>
      <c r="E41" s="29"/>
      <c r="F41" s="29"/>
      <c r="G41" s="29"/>
      <c r="H41" s="29"/>
      <c r="I41" s="29"/>
    </row>
    <row r="42">
      <c r="A42" s="29"/>
      <c r="B42" s="29"/>
      <c r="C42" s="29"/>
      <c r="D42" s="29"/>
      <c r="E42" s="29"/>
      <c r="F42" s="29"/>
      <c r="G42" s="29"/>
      <c r="H42" s="29"/>
      <c r="I42" s="29"/>
    </row>
    <row r="43">
      <c r="A43" s="29"/>
      <c r="B43" s="29"/>
      <c r="C43" s="29"/>
      <c r="D43" s="29"/>
      <c r="E43" s="29"/>
      <c r="F43" s="29"/>
      <c r="G43" s="29"/>
      <c r="H43" s="29"/>
      <c r="I43" s="29"/>
    </row>
    <row r="44">
      <c r="A44" s="29"/>
      <c r="B44" s="29"/>
      <c r="C44" s="29"/>
      <c r="D44" s="29"/>
      <c r="E44" s="29"/>
      <c r="F44" s="29"/>
      <c r="G44" s="29"/>
      <c r="H44" s="29"/>
      <c r="I44" s="29"/>
    </row>
    <row r="45">
      <c r="A45" s="29"/>
      <c r="B45" s="29"/>
      <c r="C45" s="29"/>
      <c r="D45" s="29"/>
      <c r="E45" s="29"/>
      <c r="F45" s="29"/>
      <c r="G45" s="29"/>
      <c r="H45" s="29"/>
      <c r="I45" s="29"/>
    </row>
    <row r="46">
      <c r="A46" s="29"/>
      <c r="B46" s="29"/>
      <c r="C46" s="29"/>
      <c r="D46" s="29"/>
      <c r="E46" s="29"/>
      <c r="F46" s="29"/>
      <c r="G46" s="29"/>
      <c r="H46" s="29"/>
      <c r="I46" s="29"/>
    </row>
    <row r="47">
      <c r="A47" s="29"/>
      <c r="B47" s="29"/>
      <c r="C47" s="29"/>
      <c r="D47" s="29"/>
      <c r="E47" s="29"/>
      <c r="F47" s="29"/>
      <c r="G47" s="29"/>
      <c r="H47" s="29"/>
      <c r="I47" s="29"/>
    </row>
    <row r="48">
      <c r="A48" s="29"/>
      <c r="B48" s="29"/>
      <c r="C48" s="29"/>
      <c r="D48" s="29"/>
      <c r="E48" s="29"/>
      <c r="F48" s="29"/>
      <c r="G48" s="29"/>
      <c r="H48" s="29"/>
      <c r="I48" s="29"/>
    </row>
    <row r="49">
      <c r="A49" s="29"/>
      <c r="B49" s="29"/>
      <c r="C49" s="29"/>
      <c r="D49" s="29"/>
      <c r="E49" s="29"/>
      <c r="F49" s="29"/>
      <c r="G49" s="29"/>
      <c r="H49" s="29"/>
      <c r="I49" s="29"/>
    </row>
    <row r="50">
      <c r="A50" s="29"/>
      <c r="B50" s="29"/>
      <c r="C50" s="29"/>
      <c r="D50" s="29"/>
      <c r="E50" s="29"/>
      <c r="F50" s="29"/>
      <c r="G50" s="29"/>
      <c r="H50" s="29"/>
      <c r="I50" s="29"/>
    </row>
    <row r="51">
      <c r="A51" s="29"/>
      <c r="B51" s="29"/>
      <c r="C51" s="29"/>
      <c r="D51" s="29"/>
      <c r="E51" s="29"/>
      <c r="F51" s="29"/>
      <c r="G51" s="29"/>
      <c r="H51" s="29"/>
      <c r="I51" s="29"/>
    </row>
    <row r="52">
      <c r="A52" s="29"/>
      <c r="B52" s="29"/>
      <c r="C52" s="29"/>
      <c r="D52" s="29"/>
      <c r="E52" s="29"/>
      <c r="F52" s="29"/>
      <c r="G52" s="29"/>
      <c r="H52" s="29"/>
      <c r="I52" s="29"/>
    </row>
    <row r="53">
      <c r="A53" s="29"/>
      <c r="B53" s="29"/>
      <c r="C53" s="29"/>
      <c r="D53" s="29"/>
      <c r="E53" s="29"/>
      <c r="F53" s="29"/>
      <c r="G53" s="29"/>
      <c r="H53" s="29"/>
      <c r="I53" s="29"/>
    </row>
    <row r="54">
      <c r="A54" s="29"/>
      <c r="B54" s="29"/>
      <c r="C54" s="29"/>
      <c r="D54" s="29"/>
      <c r="E54" s="29"/>
      <c r="F54" s="29"/>
      <c r="G54" s="29"/>
      <c r="H54" s="29"/>
      <c r="I54" s="29"/>
    </row>
    <row r="55">
      <c r="A55" s="29"/>
      <c r="B55" s="29"/>
      <c r="C55" s="29"/>
      <c r="D55" s="29"/>
      <c r="E55" s="29"/>
      <c r="F55" s="29"/>
      <c r="G55" s="29"/>
      <c r="H55" s="29"/>
      <c r="I55" s="29"/>
    </row>
    <row r="56">
      <c r="A56" s="29"/>
      <c r="B56" s="29"/>
      <c r="C56" s="29"/>
      <c r="D56" s="29"/>
      <c r="E56" s="29"/>
      <c r="F56" s="29"/>
      <c r="G56" s="29"/>
      <c r="H56" s="29"/>
      <c r="I56" s="29"/>
    </row>
    <row r="57">
      <c r="A57" s="29"/>
      <c r="B57" s="29"/>
      <c r="C57" s="29"/>
      <c r="D57" s="29"/>
      <c r="E57" s="29"/>
      <c r="F57" s="29"/>
      <c r="G57" s="29"/>
      <c r="H57" s="29"/>
      <c r="I57" s="29"/>
    </row>
    <row r="58">
      <c r="A58" s="29"/>
      <c r="B58" s="29"/>
      <c r="C58" s="29"/>
      <c r="D58" s="29"/>
      <c r="E58" s="29"/>
      <c r="F58" s="29"/>
      <c r="G58" s="29"/>
      <c r="H58" s="29"/>
      <c r="I58" s="29"/>
    </row>
    <row r="59">
      <c r="A59" s="29"/>
      <c r="B59" s="29"/>
      <c r="C59" s="29"/>
      <c r="D59" s="29"/>
      <c r="E59" s="29"/>
      <c r="F59" s="29"/>
      <c r="G59" s="29"/>
      <c r="H59" s="29"/>
      <c r="I59" s="29"/>
    </row>
    <row r="60">
      <c r="A60" s="29"/>
      <c r="B60" s="29"/>
      <c r="C60" s="29"/>
      <c r="D60" s="29"/>
      <c r="E60" s="29"/>
      <c r="F60" s="29"/>
      <c r="G60" s="29"/>
      <c r="H60" s="29"/>
      <c r="I60" s="29"/>
    </row>
    <row r="61">
      <c r="A61" s="29"/>
      <c r="B61" s="29"/>
      <c r="C61" s="29"/>
      <c r="D61" s="29"/>
      <c r="E61" s="29"/>
      <c r="F61" s="29"/>
      <c r="G61" s="29"/>
      <c r="H61" s="29"/>
      <c r="I61" s="29"/>
    </row>
    <row r="62">
      <c r="A62" s="29"/>
      <c r="B62" s="29"/>
      <c r="C62" s="29"/>
      <c r="D62" s="29"/>
      <c r="E62" s="29"/>
      <c r="F62" s="29"/>
      <c r="G62" s="29"/>
      <c r="H62" s="29"/>
      <c r="I62" s="29"/>
    </row>
    <row r="63">
      <c r="A63" s="29"/>
      <c r="B63" s="29"/>
      <c r="C63" s="29"/>
      <c r="D63" s="29"/>
      <c r="E63" s="29"/>
      <c r="F63" s="29"/>
      <c r="G63" s="29"/>
      <c r="H63" s="29"/>
      <c r="I63" s="29"/>
    </row>
    <row r="64">
      <c r="A64" s="29"/>
      <c r="B64" s="29"/>
      <c r="C64" s="29"/>
      <c r="D64" s="29"/>
      <c r="E64" s="29"/>
      <c r="F64" s="29"/>
      <c r="G64" s="29"/>
      <c r="H64" s="29"/>
      <c r="I64" s="29"/>
    </row>
    <row r="65">
      <c r="A65" s="29"/>
      <c r="B65" s="29"/>
      <c r="C65" s="29"/>
      <c r="D65" s="29"/>
      <c r="E65" s="29"/>
      <c r="F65" s="29"/>
      <c r="G65" s="29"/>
      <c r="H65" s="29"/>
      <c r="I65" s="29"/>
    </row>
    <row r="66">
      <c r="A66" s="29"/>
      <c r="B66" s="29"/>
      <c r="C66" s="29"/>
      <c r="D66" s="29"/>
      <c r="E66" s="29"/>
      <c r="F66" s="29"/>
      <c r="G66" s="29"/>
      <c r="H66" s="29"/>
      <c r="I66" s="29"/>
    </row>
    <row r="67">
      <c r="A67" s="29"/>
      <c r="B67" s="29"/>
      <c r="C67" s="29"/>
      <c r="D67" s="29"/>
      <c r="E67" s="29"/>
      <c r="F67" s="29"/>
      <c r="G67" s="29"/>
      <c r="H67" s="29"/>
      <c r="I67" s="29"/>
    </row>
    <row r="68">
      <c r="A68" s="29"/>
      <c r="B68" s="29"/>
      <c r="C68" s="29"/>
      <c r="D68" s="29"/>
      <c r="E68" s="29"/>
      <c r="F68" s="29"/>
      <c r="G68" s="29"/>
      <c r="H68" s="29"/>
      <c r="I68" s="29"/>
    </row>
    <row r="69">
      <c r="A69" s="29"/>
      <c r="B69" s="29"/>
      <c r="C69" s="29"/>
      <c r="D69" s="29"/>
      <c r="E69" s="29"/>
      <c r="F69" s="29"/>
      <c r="G69" s="29"/>
      <c r="H69" s="29"/>
      <c r="I69" s="29"/>
    </row>
    <row r="70">
      <c r="A70" s="29"/>
      <c r="B70" s="29"/>
      <c r="C70" s="29"/>
      <c r="D70" s="29"/>
      <c r="E70" s="29"/>
      <c r="F70" s="29"/>
      <c r="G70" s="29"/>
      <c r="H70" s="29"/>
      <c r="I70" s="29"/>
    </row>
    <row r="71">
      <c r="A71" s="29"/>
      <c r="B71" s="29"/>
      <c r="C71" s="29"/>
      <c r="D71" s="29"/>
      <c r="E71" s="29"/>
      <c r="F71" s="29"/>
      <c r="G71" s="29"/>
      <c r="H71" s="29"/>
      <c r="I71" s="29"/>
    </row>
    <row r="72">
      <c r="A72" s="29"/>
      <c r="B72" s="29"/>
      <c r="C72" s="29"/>
      <c r="D72" s="29"/>
      <c r="E72" s="29"/>
      <c r="F72" s="29"/>
      <c r="G72" s="29"/>
      <c r="H72" s="29"/>
      <c r="I72" s="29"/>
    </row>
    <row r="73">
      <c r="A73" s="29"/>
      <c r="B73" s="29"/>
      <c r="C73" s="29"/>
      <c r="D73" s="29"/>
      <c r="E73" s="29"/>
      <c r="F73" s="29"/>
      <c r="G73" s="29"/>
      <c r="H73" s="29"/>
      <c r="I73" s="29"/>
    </row>
    <row r="74">
      <c r="A74" s="29"/>
      <c r="B74" s="29"/>
      <c r="C74" s="29"/>
      <c r="D74" s="29"/>
      <c r="E74" s="29"/>
      <c r="F74" s="29"/>
      <c r="G74" s="29"/>
      <c r="H74" s="29"/>
      <c r="I74" s="29"/>
    </row>
    <row r="75">
      <c r="A75" s="29"/>
      <c r="B75" s="29"/>
      <c r="C75" s="29"/>
      <c r="D75" s="29"/>
      <c r="E75" s="29"/>
      <c r="F75" s="29"/>
      <c r="G75" s="29"/>
      <c r="H75" s="29"/>
      <c r="I75" s="29"/>
    </row>
    <row r="76">
      <c r="A76" s="29"/>
      <c r="B76" s="29"/>
      <c r="C76" s="29"/>
      <c r="D76" s="29"/>
      <c r="E76" s="29"/>
      <c r="F76" s="29"/>
      <c r="G76" s="29"/>
      <c r="H76" s="29"/>
      <c r="I76" s="29"/>
    </row>
    <row r="77">
      <c r="A77" s="29"/>
      <c r="B77" s="29"/>
      <c r="C77" s="29"/>
      <c r="D77" s="29"/>
      <c r="E77" s="29"/>
      <c r="F77" s="29"/>
      <c r="G77" s="29"/>
      <c r="H77" s="29"/>
      <c r="I77" s="29"/>
    </row>
    <row r="78">
      <c r="A78" s="29"/>
      <c r="B78" s="29"/>
      <c r="C78" s="29"/>
      <c r="D78" s="29"/>
      <c r="E78" s="29"/>
      <c r="F78" s="29"/>
      <c r="G78" s="29"/>
      <c r="H78" s="29"/>
      <c r="I78" s="29"/>
    </row>
    <row r="79">
      <c r="A79" s="29"/>
      <c r="B79" s="29"/>
      <c r="C79" s="29"/>
      <c r="D79" s="29"/>
      <c r="E79" s="29"/>
      <c r="F79" s="29"/>
      <c r="G79" s="29"/>
      <c r="H79" s="29"/>
      <c r="I79" s="29"/>
    </row>
    <row r="80">
      <c r="A80" s="29"/>
      <c r="B80" s="29"/>
      <c r="C80" s="29"/>
      <c r="D80" s="29"/>
      <c r="E80" s="29"/>
      <c r="F80" s="29"/>
      <c r="G80" s="29"/>
      <c r="H80" s="29"/>
      <c r="I80" s="29"/>
    </row>
    <row r="81">
      <c r="A81" s="29"/>
      <c r="B81" s="29"/>
      <c r="C81" s="29"/>
      <c r="D81" s="29"/>
      <c r="E81" s="29"/>
      <c r="F81" s="29"/>
      <c r="G81" s="29"/>
      <c r="H81" s="29"/>
      <c r="I81" s="29"/>
    </row>
    <row r="82">
      <c r="A82" s="29"/>
      <c r="B82" s="29"/>
      <c r="C82" s="29"/>
      <c r="D82" s="29"/>
      <c r="E82" s="29"/>
      <c r="F82" s="29"/>
      <c r="G82" s="29"/>
      <c r="H82" s="29"/>
      <c r="I82" s="29"/>
    </row>
    <row r="83">
      <c r="A83" s="29"/>
      <c r="B83" s="29"/>
      <c r="C83" s="29"/>
      <c r="D83" s="29"/>
      <c r="E83" s="29"/>
      <c r="F83" s="29"/>
      <c r="G83" s="29"/>
      <c r="H83" s="29"/>
      <c r="I83" s="29"/>
    </row>
    <row r="84">
      <c r="A84" s="29"/>
      <c r="B84" s="29"/>
      <c r="C84" s="29"/>
      <c r="D84" s="29"/>
      <c r="E84" s="29"/>
      <c r="F84" s="29"/>
      <c r="G84" s="29"/>
      <c r="H84" s="29"/>
      <c r="I84" s="29"/>
    </row>
    <row r="85">
      <c r="A85" s="29"/>
      <c r="B85" s="29"/>
      <c r="C85" s="29"/>
      <c r="D85" s="29"/>
      <c r="E85" s="29"/>
      <c r="F85" s="29"/>
      <c r="G85" s="29"/>
      <c r="H85" s="29"/>
      <c r="I85" s="29"/>
    </row>
    <row r="86">
      <c r="A86" s="29"/>
      <c r="B86" s="29"/>
      <c r="C86" s="29"/>
      <c r="D86" s="29"/>
      <c r="E86" s="29"/>
      <c r="F86" s="29"/>
      <c r="G86" s="29"/>
      <c r="H86" s="29"/>
      <c r="I86" s="29"/>
    </row>
    <row r="87">
      <c r="A87" s="29"/>
      <c r="B87" s="29"/>
      <c r="C87" s="29"/>
      <c r="D87" s="29"/>
      <c r="E87" s="29"/>
      <c r="F87" s="29"/>
      <c r="G87" s="29"/>
      <c r="H87" s="29"/>
      <c r="I87" s="29"/>
    </row>
    <row r="88">
      <c r="A88" s="29"/>
      <c r="B88" s="29"/>
      <c r="C88" s="29"/>
      <c r="D88" s="29"/>
      <c r="E88" s="29"/>
      <c r="F88" s="29"/>
      <c r="G88" s="29"/>
      <c r="H88" s="29"/>
      <c r="I88" s="29"/>
    </row>
    <row r="89">
      <c r="A89" s="29"/>
      <c r="B89" s="29"/>
      <c r="C89" s="29"/>
      <c r="D89" s="29"/>
      <c r="E89" s="29"/>
      <c r="F89" s="29"/>
      <c r="G89" s="29"/>
      <c r="H89" s="29"/>
      <c r="I89" s="29"/>
    </row>
    <row r="90">
      <c r="A90" s="29"/>
      <c r="B90" s="29"/>
      <c r="C90" s="29"/>
      <c r="D90" s="29"/>
      <c r="E90" s="29"/>
      <c r="F90" s="29"/>
      <c r="G90" s="29"/>
      <c r="H90" s="29"/>
      <c r="I90" s="29"/>
    </row>
    <row r="91">
      <c r="A91" s="29"/>
      <c r="B91" s="29"/>
      <c r="C91" s="29"/>
      <c r="D91" s="29"/>
      <c r="E91" s="29"/>
      <c r="F91" s="29"/>
      <c r="G91" s="29"/>
      <c r="H91" s="29"/>
      <c r="I91" s="29"/>
    </row>
    <row r="92">
      <c r="A92" s="29"/>
      <c r="B92" s="29"/>
      <c r="C92" s="29"/>
      <c r="D92" s="29"/>
      <c r="E92" s="29"/>
      <c r="F92" s="29"/>
      <c r="G92" s="29"/>
      <c r="H92" s="29"/>
      <c r="I92" s="29"/>
    </row>
    <row r="93">
      <c r="A93" s="29"/>
      <c r="B93" s="29"/>
      <c r="C93" s="29"/>
      <c r="D93" s="29"/>
      <c r="E93" s="29"/>
      <c r="F93" s="29"/>
      <c r="G93" s="29"/>
      <c r="H93" s="29"/>
      <c r="I93" s="29"/>
    </row>
    <row r="94">
      <c r="A94" s="29"/>
      <c r="B94" s="29"/>
      <c r="C94" s="29"/>
      <c r="D94" s="29"/>
      <c r="E94" s="29"/>
      <c r="F94" s="29"/>
      <c r="G94" s="29"/>
      <c r="H94" s="29"/>
      <c r="I94" s="29"/>
    </row>
    <row r="95">
      <c r="A95" s="29"/>
      <c r="B95" s="29"/>
      <c r="C95" s="29"/>
      <c r="D95" s="29"/>
      <c r="E95" s="29"/>
      <c r="F95" s="29"/>
      <c r="G95" s="29"/>
      <c r="H95" s="29"/>
      <c r="I95" s="29"/>
    </row>
    <row r="96">
      <c r="A96" s="29"/>
      <c r="B96" s="29"/>
      <c r="C96" s="29"/>
      <c r="D96" s="29"/>
      <c r="E96" s="29"/>
      <c r="F96" s="29"/>
      <c r="G96" s="29"/>
      <c r="H96" s="29"/>
      <c r="I96" s="29"/>
    </row>
    <row r="97">
      <c r="A97" s="29"/>
      <c r="B97" s="29"/>
      <c r="C97" s="29"/>
      <c r="D97" s="29"/>
      <c r="E97" s="29"/>
      <c r="F97" s="29"/>
      <c r="G97" s="29"/>
      <c r="H97" s="29"/>
      <c r="I97" s="29"/>
    </row>
    <row r="98">
      <c r="A98" s="29"/>
      <c r="B98" s="29"/>
      <c r="C98" s="29"/>
      <c r="D98" s="29"/>
      <c r="E98" s="29"/>
      <c r="F98" s="29"/>
      <c r="G98" s="29"/>
      <c r="H98" s="29"/>
      <c r="I98" s="29"/>
    </row>
    <row r="99">
      <c r="A99" s="29"/>
      <c r="B99" s="29"/>
      <c r="C99" s="29"/>
      <c r="D99" s="29"/>
      <c r="E99" s="29"/>
      <c r="F99" s="29"/>
      <c r="G99" s="29"/>
      <c r="H99" s="29"/>
      <c r="I99" s="29"/>
    </row>
    <row r="100">
      <c r="A100" s="29"/>
      <c r="B100" s="29"/>
      <c r="C100" s="29"/>
      <c r="D100" s="29"/>
      <c r="E100" s="29"/>
      <c r="F100" s="29"/>
      <c r="G100" s="29"/>
      <c r="H100" s="29"/>
      <c r="I100" s="29"/>
    </row>
    <row r="101">
      <c r="A101" s="29"/>
      <c r="B101" s="29"/>
      <c r="C101" s="29"/>
      <c r="D101" s="29"/>
      <c r="E101" s="29"/>
      <c r="F101" s="29"/>
      <c r="G101" s="29"/>
      <c r="H101" s="29"/>
      <c r="I101" s="29"/>
    </row>
    <row r="102">
      <c r="A102" s="29"/>
      <c r="B102" s="29"/>
      <c r="C102" s="29"/>
      <c r="D102" s="29"/>
      <c r="E102" s="29"/>
      <c r="F102" s="29"/>
      <c r="G102" s="29"/>
      <c r="H102" s="29"/>
      <c r="I102" s="29"/>
    </row>
    <row r="103">
      <c r="A103" s="29"/>
      <c r="B103" s="29"/>
      <c r="C103" s="29"/>
      <c r="D103" s="29"/>
      <c r="E103" s="29"/>
      <c r="F103" s="29"/>
      <c r="G103" s="29"/>
      <c r="H103" s="29"/>
      <c r="I103" s="29"/>
    </row>
    <row r="104">
      <c r="A104" s="29"/>
      <c r="B104" s="29"/>
      <c r="C104" s="29"/>
      <c r="D104" s="29"/>
      <c r="E104" s="29"/>
      <c r="F104" s="29"/>
      <c r="G104" s="29"/>
      <c r="H104" s="29"/>
      <c r="I104" s="29"/>
    </row>
    <row r="105">
      <c r="A105" s="29"/>
      <c r="B105" s="29"/>
      <c r="C105" s="29"/>
      <c r="D105" s="29"/>
      <c r="E105" s="29"/>
      <c r="F105" s="29"/>
      <c r="G105" s="29"/>
      <c r="H105" s="29"/>
      <c r="I105" s="29"/>
    </row>
    <row r="106">
      <c r="A106" s="29"/>
      <c r="B106" s="29"/>
      <c r="C106" s="29"/>
      <c r="D106" s="29"/>
      <c r="E106" s="29"/>
      <c r="F106" s="29"/>
      <c r="G106" s="29"/>
      <c r="H106" s="29"/>
      <c r="I106" s="29"/>
    </row>
    <row r="107">
      <c r="A107" s="29"/>
      <c r="B107" s="29"/>
      <c r="C107" s="29"/>
      <c r="D107" s="29"/>
      <c r="E107" s="29"/>
      <c r="F107" s="29"/>
      <c r="G107" s="29"/>
      <c r="H107" s="29"/>
      <c r="I107" s="29"/>
    </row>
    <row r="108">
      <c r="A108" s="29"/>
      <c r="B108" s="29"/>
      <c r="C108" s="29"/>
      <c r="D108" s="29"/>
      <c r="E108" s="29"/>
      <c r="F108" s="29"/>
      <c r="G108" s="29"/>
      <c r="H108" s="29"/>
      <c r="I108" s="29"/>
    </row>
    <row r="109">
      <c r="A109" s="29"/>
      <c r="B109" s="29"/>
      <c r="C109" s="29"/>
      <c r="D109" s="29"/>
      <c r="E109" s="29"/>
      <c r="F109" s="29"/>
      <c r="G109" s="29"/>
      <c r="H109" s="29"/>
      <c r="I109" s="29"/>
    </row>
    <row r="110">
      <c r="A110" s="29"/>
      <c r="B110" s="29"/>
      <c r="C110" s="29"/>
      <c r="D110" s="29"/>
      <c r="E110" s="29"/>
      <c r="F110" s="29"/>
      <c r="G110" s="29"/>
      <c r="H110" s="29"/>
      <c r="I110" s="29"/>
    </row>
    <row r="111">
      <c r="A111" s="29"/>
      <c r="B111" s="29"/>
      <c r="C111" s="29"/>
      <c r="D111" s="29"/>
      <c r="E111" s="29"/>
      <c r="F111" s="29"/>
      <c r="G111" s="29"/>
      <c r="H111" s="29"/>
      <c r="I111" s="29"/>
    </row>
    <row r="112">
      <c r="A112" s="29"/>
      <c r="B112" s="29"/>
      <c r="C112" s="29"/>
      <c r="D112" s="29"/>
      <c r="E112" s="29"/>
      <c r="F112" s="29"/>
      <c r="G112" s="29"/>
      <c r="H112" s="29"/>
      <c r="I112" s="29"/>
    </row>
    <row r="113">
      <c r="A113" s="29"/>
      <c r="B113" s="29"/>
      <c r="C113" s="29"/>
      <c r="D113" s="29"/>
      <c r="E113" s="29"/>
      <c r="F113" s="29"/>
      <c r="G113" s="29"/>
      <c r="H113" s="29"/>
      <c r="I113" s="29"/>
    </row>
    <row r="114">
      <c r="A114" s="29"/>
      <c r="B114" s="29"/>
      <c r="C114" s="29"/>
      <c r="D114" s="29"/>
      <c r="E114" s="29"/>
      <c r="F114" s="29"/>
      <c r="G114" s="29"/>
      <c r="H114" s="29"/>
      <c r="I114" s="29"/>
    </row>
    <row r="115">
      <c r="A115" s="29"/>
      <c r="B115" s="29"/>
      <c r="C115" s="29"/>
      <c r="D115" s="29"/>
      <c r="E115" s="29"/>
      <c r="F115" s="29"/>
      <c r="G115" s="29"/>
      <c r="H115" s="29"/>
      <c r="I115" s="29"/>
    </row>
    <row r="116">
      <c r="A116" s="29"/>
      <c r="B116" s="29"/>
      <c r="C116" s="29"/>
      <c r="D116" s="29"/>
      <c r="E116" s="29"/>
      <c r="F116" s="29"/>
      <c r="G116" s="29"/>
      <c r="H116" s="29"/>
      <c r="I116" s="29"/>
    </row>
    <row r="117">
      <c r="A117" s="29"/>
      <c r="B117" s="29"/>
      <c r="C117" s="29"/>
      <c r="D117" s="29"/>
      <c r="E117" s="29"/>
      <c r="F117" s="29"/>
      <c r="G117" s="29"/>
      <c r="H117" s="29"/>
      <c r="I117" s="29"/>
    </row>
    <row r="118">
      <c r="A118" s="29"/>
      <c r="B118" s="29"/>
      <c r="C118" s="29"/>
      <c r="D118" s="29"/>
      <c r="E118" s="29"/>
      <c r="F118" s="29"/>
      <c r="G118" s="29"/>
      <c r="H118" s="29"/>
      <c r="I118" s="29"/>
    </row>
    <row r="119">
      <c r="A119" s="29"/>
      <c r="B119" s="29"/>
      <c r="C119" s="29"/>
      <c r="D119" s="29"/>
      <c r="E119" s="29"/>
      <c r="F119" s="29"/>
      <c r="G119" s="29"/>
      <c r="H119" s="29"/>
      <c r="I119" s="29"/>
    </row>
    <row r="120">
      <c r="A120" s="29"/>
      <c r="B120" s="29"/>
      <c r="C120" s="29"/>
      <c r="D120" s="29"/>
      <c r="E120" s="29"/>
      <c r="F120" s="29"/>
      <c r="G120" s="29"/>
      <c r="H120" s="29"/>
      <c r="I120" s="29"/>
    </row>
    <row r="121">
      <c r="A121" s="29"/>
      <c r="B121" s="29"/>
      <c r="C121" s="29"/>
      <c r="D121" s="29"/>
      <c r="E121" s="29"/>
      <c r="F121" s="29"/>
      <c r="G121" s="29"/>
      <c r="H121" s="29"/>
      <c r="I121" s="29"/>
    </row>
    <row r="122">
      <c r="A122" s="29"/>
      <c r="B122" s="29"/>
      <c r="C122" s="29"/>
      <c r="D122" s="29"/>
      <c r="E122" s="29"/>
      <c r="F122" s="29"/>
      <c r="G122" s="29"/>
      <c r="H122" s="29"/>
      <c r="I122" s="29"/>
    </row>
    <row r="123">
      <c r="A123" s="29"/>
      <c r="B123" s="29"/>
      <c r="C123" s="29"/>
      <c r="D123" s="29"/>
      <c r="E123" s="29"/>
      <c r="F123" s="29"/>
      <c r="G123" s="29"/>
      <c r="H123" s="29"/>
      <c r="I123" s="29"/>
    </row>
    <row r="124">
      <c r="A124" s="29"/>
      <c r="B124" s="29"/>
      <c r="C124" s="29"/>
      <c r="D124" s="29"/>
      <c r="E124" s="29"/>
      <c r="F124" s="29"/>
      <c r="G124" s="29"/>
      <c r="H124" s="29"/>
      <c r="I124" s="29"/>
    </row>
    <row r="125">
      <c r="A125" s="29"/>
      <c r="B125" s="29"/>
      <c r="C125" s="29"/>
      <c r="D125" s="29"/>
      <c r="E125" s="29"/>
      <c r="F125" s="29"/>
      <c r="G125" s="29"/>
      <c r="H125" s="29"/>
      <c r="I125" s="29"/>
    </row>
    <row r="126">
      <c r="A126" s="29"/>
      <c r="B126" s="29"/>
      <c r="C126" s="29"/>
      <c r="D126" s="29"/>
      <c r="E126" s="29"/>
      <c r="F126" s="29"/>
      <c r="G126" s="29"/>
      <c r="H126" s="29"/>
      <c r="I126" s="29"/>
    </row>
    <row r="127">
      <c r="A127" s="29"/>
      <c r="B127" s="29"/>
      <c r="C127" s="29"/>
      <c r="D127" s="29"/>
      <c r="E127" s="29"/>
      <c r="F127" s="29"/>
      <c r="G127" s="29"/>
      <c r="H127" s="29"/>
      <c r="I127" s="29"/>
    </row>
    <row r="128">
      <c r="A128" s="29"/>
      <c r="B128" s="29"/>
      <c r="C128" s="29"/>
      <c r="D128" s="29"/>
      <c r="E128" s="29"/>
      <c r="F128" s="29"/>
      <c r="G128" s="29"/>
      <c r="H128" s="29"/>
      <c r="I128" s="29"/>
    </row>
    <row r="129">
      <c r="A129" s="29"/>
      <c r="B129" s="29"/>
      <c r="C129" s="29"/>
      <c r="D129" s="29"/>
      <c r="E129" s="29"/>
      <c r="F129" s="29"/>
      <c r="G129" s="29"/>
      <c r="H129" s="29"/>
      <c r="I129" s="29"/>
    </row>
    <row r="130">
      <c r="A130" s="29"/>
      <c r="B130" s="29"/>
      <c r="C130" s="29"/>
      <c r="D130" s="29"/>
      <c r="E130" s="29"/>
      <c r="F130" s="29"/>
      <c r="G130" s="29"/>
      <c r="H130" s="29"/>
      <c r="I130" s="29"/>
    </row>
    <row r="131">
      <c r="A131" s="29"/>
      <c r="B131" s="29"/>
      <c r="C131" s="29"/>
      <c r="D131" s="29"/>
      <c r="E131" s="29"/>
      <c r="F131" s="29"/>
      <c r="G131" s="29"/>
      <c r="H131" s="29"/>
      <c r="I131" s="29"/>
    </row>
    <row r="132">
      <c r="A132" s="29"/>
      <c r="B132" s="29"/>
      <c r="C132" s="29"/>
      <c r="D132" s="29"/>
      <c r="E132" s="29"/>
      <c r="F132" s="29"/>
      <c r="G132" s="29"/>
      <c r="H132" s="29"/>
      <c r="I132" s="29"/>
    </row>
    <row r="133">
      <c r="A133" s="29"/>
      <c r="B133" s="29"/>
      <c r="C133" s="29"/>
      <c r="D133" s="29"/>
      <c r="E133" s="29"/>
      <c r="F133" s="29"/>
      <c r="G133" s="29"/>
      <c r="H133" s="29"/>
      <c r="I133" s="29"/>
    </row>
    <row r="134">
      <c r="A134" s="29"/>
      <c r="B134" s="29"/>
      <c r="C134" s="29"/>
      <c r="D134" s="29"/>
      <c r="E134" s="29"/>
      <c r="F134" s="29"/>
      <c r="G134" s="29"/>
      <c r="H134" s="29"/>
      <c r="I134" s="29"/>
    </row>
    <row r="135">
      <c r="A135" s="29"/>
      <c r="B135" s="29"/>
      <c r="C135" s="29"/>
      <c r="D135" s="29"/>
      <c r="E135" s="29"/>
      <c r="F135" s="29"/>
      <c r="G135" s="29"/>
      <c r="H135" s="29"/>
      <c r="I135" s="29"/>
    </row>
    <row r="136">
      <c r="A136" s="29"/>
      <c r="B136" s="29"/>
      <c r="C136" s="29"/>
      <c r="D136" s="29"/>
      <c r="E136" s="29"/>
      <c r="F136" s="29"/>
      <c r="G136" s="29"/>
      <c r="H136" s="29"/>
      <c r="I136" s="29"/>
    </row>
    <row r="137">
      <c r="A137" s="29"/>
      <c r="B137" s="29"/>
      <c r="C137" s="29"/>
      <c r="D137" s="29"/>
      <c r="E137" s="29"/>
      <c r="F137" s="29"/>
      <c r="G137" s="29"/>
      <c r="H137" s="29"/>
      <c r="I137" s="29"/>
    </row>
    <row r="138">
      <c r="A138" s="29"/>
      <c r="B138" s="29"/>
      <c r="C138" s="29"/>
      <c r="D138" s="29"/>
      <c r="E138" s="29"/>
      <c r="F138" s="29"/>
      <c r="G138" s="29"/>
      <c r="H138" s="29"/>
      <c r="I138" s="29"/>
    </row>
    <row r="139">
      <c r="A139" s="29"/>
      <c r="B139" s="29"/>
      <c r="C139" s="29"/>
      <c r="D139" s="29"/>
      <c r="E139" s="29"/>
      <c r="F139" s="29"/>
      <c r="G139" s="29"/>
      <c r="H139" s="29"/>
      <c r="I139" s="29"/>
    </row>
    <row r="140">
      <c r="A140" s="29"/>
      <c r="B140" s="29"/>
      <c r="C140" s="29"/>
      <c r="D140" s="29"/>
      <c r="E140" s="29"/>
      <c r="F140" s="29"/>
      <c r="G140" s="29"/>
      <c r="H140" s="29"/>
      <c r="I140" s="29"/>
    </row>
    <row r="141">
      <c r="A141" s="29"/>
      <c r="B141" s="29"/>
      <c r="C141" s="29"/>
      <c r="D141" s="29"/>
      <c r="E141" s="29"/>
      <c r="F141" s="29"/>
      <c r="G141" s="29"/>
      <c r="H141" s="29"/>
      <c r="I141" s="29"/>
    </row>
    <row r="142">
      <c r="A142" s="29"/>
      <c r="B142" s="29"/>
      <c r="C142" s="29"/>
      <c r="D142" s="29"/>
      <c r="E142" s="29"/>
      <c r="F142" s="29"/>
      <c r="G142" s="29"/>
      <c r="H142" s="29"/>
      <c r="I142" s="29"/>
    </row>
    <row r="143">
      <c r="A143" s="29"/>
      <c r="B143" s="29"/>
      <c r="C143" s="29"/>
      <c r="D143" s="29"/>
      <c r="E143" s="29"/>
      <c r="F143" s="29"/>
      <c r="G143" s="29"/>
      <c r="H143" s="29"/>
      <c r="I143" s="29"/>
    </row>
    <row r="144">
      <c r="A144" s="29"/>
      <c r="B144" s="29"/>
      <c r="C144" s="29"/>
      <c r="D144" s="29"/>
      <c r="E144" s="29"/>
      <c r="F144" s="29"/>
      <c r="G144" s="29"/>
      <c r="H144" s="29"/>
      <c r="I144" s="29"/>
    </row>
    <row r="145">
      <c r="A145" s="29"/>
      <c r="B145" s="29"/>
      <c r="C145" s="29"/>
      <c r="D145" s="29"/>
      <c r="E145" s="29"/>
      <c r="F145" s="29"/>
      <c r="G145" s="29"/>
      <c r="H145" s="29"/>
      <c r="I145" s="29"/>
    </row>
    <row r="146">
      <c r="A146" s="29"/>
      <c r="B146" s="29"/>
      <c r="C146" s="29"/>
      <c r="D146" s="29"/>
      <c r="E146" s="29"/>
      <c r="F146" s="29"/>
      <c r="G146" s="29"/>
      <c r="H146" s="29"/>
      <c r="I146" s="29"/>
    </row>
    <row r="147">
      <c r="A147" s="29"/>
      <c r="B147" s="29"/>
      <c r="C147" s="29"/>
      <c r="D147" s="29"/>
      <c r="E147" s="29"/>
      <c r="F147" s="29"/>
      <c r="G147" s="29"/>
      <c r="H147" s="29"/>
      <c r="I147" s="29"/>
    </row>
    <row r="148">
      <c r="A148" s="29"/>
      <c r="B148" s="29"/>
      <c r="C148" s="29"/>
      <c r="D148" s="29"/>
      <c r="E148" s="29"/>
      <c r="F148" s="29"/>
      <c r="G148" s="29"/>
      <c r="H148" s="29"/>
      <c r="I148" s="29"/>
    </row>
    <row r="149">
      <c r="A149" s="29"/>
      <c r="B149" s="29"/>
      <c r="C149" s="29"/>
      <c r="D149" s="29"/>
      <c r="E149" s="29"/>
      <c r="F149" s="29"/>
      <c r="G149" s="29"/>
      <c r="H149" s="29"/>
      <c r="I149" s="29"/>
    </row>
    <row r="150">
      <c r="A150" s="29"/>
      <c r="B150" s="29"/>
      <c r="C150" s="29"/>
      <c r="D150" s="29"/>
      <c r="E150" s="29"/>
      <c r="F150" s="29"/>
      <c r="G150" s="29"/>
      <c r="H150" s="29"/>
      <c r="I150" s="29"/>
    </row>
    <row r="151">
      <c r="A151" s="29"/>
      <c r="B151" s="29"/>
      <c r="C151" s="29"/>
      <c r="D151" s="29"/>
      <c r="E151" s="29"/>
      <c r="F151" s="29"/>
      <c r="G151" s="29"/>
      <c r="H151" s="29"/>
      <c r="I151" s="29"/>
    </row>
    <row r="152">
      <c r="A152" s="29"/>
      <c r="B152" s="29"/>
      <c r="C152" s="29"/>
      <c r="D152" s="29"/>
      <c r="E152" s="29"/>
      <c r="F152" s="29"/>
      <c r="G152" s="29"/>
      <c r="H152" s="29"/>
      <c r="I152" s="29"/>
    </row>
    <row r="153">
      <c r="A153" s="29"/>
      <c r="B153" s="29"/>
      <c r="C153" s="29"/>
      <c r="D153" s="29"/>
      <c r="E153" s="29"/>
      <c r="F153" s="29"/>
      <c r="G153" s="29"/>
      <c r="H153" s="29"/>
      <c r="I153" s="29"/>
    </row>
    <row r="154">
      <c r="A154" s="29"/>
      <c r="B154" s="29"/>
      <c r="C154" s="29"/>
      <c r="D154" s="29"/>
      <c r="E154" s="29"/>
      <c r="F154" s="29"/>
      <c r="G154" s="29"/>
      <c r="H154" s="29"/>
      <c r="I154" s="29"/>
    </row>
    <row r="155">
      <c r="A155" s="29"/>
      <c r="B155" s="29"/>
      <c r="C155" s="29"/>
      <c r="D155" s="29"/>
      <c r="E155" s="29"/>
      <c r="F155" s="29"/>
      <c r="G155" s="29"/>
      <c r="H155" s="29"/>
      <c r="I155" s="29"/>
    </row>
    <row r="156">
      <c r="A156" s="29"/>
      <c r="B156" s="29"/>
      <c r="C156" s="29"/>
      <c r="D156" s="29"/>
      <c r="E156" s="29"/>
      <c r="F156" s="29"/>
      <c r="G156" s="29"/>
      <c r="H156" s="29"/>
      <c r="I156" s="29"/>
    </row>
    <row r="157">
      <c r="A157" s="29"/>
      <c r="B157" s="29"/>
      <c r="C157" s="29"/>
      <c r="D157" s="29"/>
      <c r="E157" s="29"/>
      <c r="F157" s="29"/>
      <c r="G157" s="29"/>
      <c r="H157" s="29"/>
      <c r="I157" s="29"/>
    </row>
    <row r="158">
      <c r="A158" s="29"/>
      <c r="B158" s="29"/>
      <c r="C158" s="29"/>
      <c r="D158" s="29"/>
      <c r="E158" s="29"/>
      <c r="F158" s="29"/>
      <c r="G158" s="29"/>
      <c r="H158" s="29"/>
      <c r="I158" s="29"/>
    </row>
    <row r="159">
      <c r="A159" s="29"/>
      <c r="B159" s="29"/>
      <c r="C159" s="29"/>
      <c r="D159" s="29"/>
      <c r="E159" s="29"/>
      <c r="F159" s="29"/>
      <c r="G159" s="29"/>
      <c r="H159" s="29"/>
      <c r="I159" s="29"/>
    </row>
    <row r="160">
      <c r="A160" s="29"/>
      <c r="B160" s="29"/>
      <c r="C160" s="29"/>
      <c r="D160" s="29"/>
      <c r="E160" s="29"/>
      <c r="F160" s="29"/>
      <c r="G160" s="29"/>
      <c r="H160" s="29"/>
      <c r="I160" s="29"/>
    </row>
    <row r="161">
      <c r="A161" s="29"/>
      <c r="B161" s="29"/>
      <c r="C161" s="29"/>
      <c r="D161" s="29"/>
      <c r="E161" s="29"/>
      <c r="F161" s="29"/>
      <c r="G161" s="29"/>
      <c r="H161" s="29"/>
      <c r="I161" s="29"/>
    </row>
    <row r="162">
      <c r="A162" s="29"/>
      <c r="B162" s="29"/>
      <c r="C162" s="29"/>
      <c r="D162" s="29"/>
      <c r="E162" s="29"/>
      <c r="F162" s="29"/>
      <c r="G162" s="29"/>
      <c r="H162" s="29"/>
      <c r="I162" s="29"/>
    </row>
    <row r="163">
      <c r="A163" s="29"/>
      <c r="B163" s="29"/>
      <c r="C163" s="29"/>
      <c r="D163" s="29"/>
      <c r="E163" s="29"/>
      <c r="F163" s="29"/>
      <c r="G163" s="29"/>
      <c r="H163" s="29"/>
      <c r="I163" s="29"/>
    </row>
    <row r="164">
      <c r="A164" s="29"/>
      <c r="B164" s="29"/>
      <c r="C164" s="29"/>
      <c r="D164" s="29"/>
      <c r="E164" s="29"/>
      <c r="F164" s="29"/>
      <c r="G164" s="29"/>
      <c r="H164" s="29"/>
      <c r="I164" s="29"/>
    </row>
    <row r="165">
      <c r="A165" s="29"/>
      <c r="B165" s="29"/>
      <c r="C165" s="29"/>
      <c r="D165" s="29"/>
      <c r="E165" s="29"/>
      <c r="F165" s="29"/>
      <c r="G165" s="29"/>
      <c r="H165" s="29"/>
      <c r="I165" s="29"/>
    </row>
    <row r="166">
      <c r="A166" s="29"/>
      <c r="B166" s="29"/>
      <c r="C166" s="29"/>
      <c r="D166" s="29"/>
      <c r="E166" s="29"/>
      <c r="F166" s="29"/>
      <c r="G166" s="29"/>
      <c r="H166" s="29"/>
      <c r="I166" s="29"/>
    </row>
    <row r="167">
      <c r="A167" s="29"/>
      <c r="B167" s="29"/>
      <c r="C167" s="29"/>
      <c r="D167" s="29"/>
      <c r="E167" s="29"/>
      <c r="F167" s="29"/>
      <c r="G167" s="29"/>
      <c r="H167" s="29"/>
      <c r="I167" s="29"/>
    </row>
    <row r="168">
      <c r="A168" s="29"/>
      <c r="B168" s="29"/>
      <c r="C168" s="29"/>
      <c r="D168" s="29"/>
      <c r="E168" s="29"/>
      <c r="F168" s="29"/>
      <c r="G168" s="29"/>
      <c r="H168" s="29"/>
      <c r="I168" s="29"/>
    </row>
    <row r="169">
      <c r="A169" s="29"/>
      <c r="B169" s="29"/>
      <c r="C169" s="29"/>
      <c r="D169" s="29"/>
      <c r="E169" s="29"/>
      <c r="F169" s="29"/>
      <c r="G169" s="29"/>
      <c r="H169" s="29"/>
      <c r="I169" s="29"/>
    </row>
    <row r="170">
      <c r="A170" s="29"/>
      <c r="B170" s="29"/>
      <c r="C170" s="29"/>
      <c r="D170" s="29"/>
      <c r="E170" s="29"/>
      <c r="F170" s="29"/>
      <c r="G170" s="29"/>
      <c r="H170" s="29"/>
      <c r="I170" s="29"/>
    </row>
    <row r="171">
      <c r="A171" s="29"/>
      <c r="B171" s="29"/>
      <c r="C171" s="29"/>
      <c r="D171" s="29"/>
      <c r="E171" s="29"/>
      <c r="F171" s="29"/>
      <c r="G171" s="29"/>
      <c r="H171" s="29"/>
      <c r="I171" s="29"/>
    </row>
    <row r="172">
      <c r="A172" s="29"/>
      <c r="B172" s="29"/>
      <c r="C172" s="29"/>
      <c r="D172" s="29"/>
      <c r="E172" s="29"/>
      <c r="F172" s="29"/>
      <c r="G172" s="29"/>
      <c r="H172" s="29"/>
      <c r="I172" s="29"/>
    </row>
    <row r="173">
      <c r="A173" s="29"/>
      <c r="B173" s="29"/>
      <c r="C173" s="29"/>
      <c r="D173" s="29"/>
      <c r="E173" s="29"/>
      <c r="F173" s="29"/>
      <c r="G173" s="29"/>
      <c r="H173" s="29"/>
      <c r="I173" s="29"/>
    </row>
    <row r="174">
      <c r="A174" s="29"/>
      <c r="B174" s="29"/>
      <c r="C174" s="29"/>
      <c r="D174" s="29"/>
      <c r="E174" s="29"/>
      <c r="F174" s="29"/>
      <c r="G174" s="29"/>
      <c r="H174" s="29"/>
      <c r="I174" s="29"/>
    </row>
    <row r="175">
      <c r="A175" s="29"/>
      <c r="B175" s="29"/>
      <c r="C175" s="29"/>
      <c r="D175" s="29"/>
      <c r="E175" s="29"/>
      <c r="F175" s="29"/>
      <c r="G175" s="29"/>
      <c r="H175" s="29"/>
      <c r="I175" s="29"/>
    </row>
    <row r="176">
      <c r="A176" s="29"/>
      <c r="B176" s="29"/>
      <c r="C176" s="29"/>
      <c r="D176" s="29"/>
      <c r="E176" s="29"/>
      <c r="F176" s="29"/>
      <c r="G176" s="29"/>
      <c r="H176" s="29"/>
      <c r="I176" s="29"/>
    </row>
    <row r="177">
      <c r="A177" s="29"/>
      <c r="B177" s="29"/>
      <c r="C177" s="29"/>
      <c r="D177" s="29"/>
      <c r="E177" s="29"/>
      <c r="F177" s="29"/>
      <c r="G177" s="29"/>
      <c r="H177" s="29"/>
      <c r="I177" s="29"/>
    </row>
    <row r="178">
      <c r="A178" s="29"/>
      <c r="B178" s="29"/>
      <c r="C178" s="29"/>
      <c r="D178" s="29"/>
      <c r="E178" s="29"/>
      <c r="F178" s="29"/>
      <c r="G178" s="29"/>
      <c r="H178" s="29"/>
      <c r="I178" s="29"/>
    </row>
    <row r="179">
      <c r="A179" s="29"/>
      <c r="B179" s="29"/>
      <c r="C179" s="29"/>
      <c r="D179" s="29"/>
      <c r="E179" s="29"/>
      <c r="F179" s="29"/>
      <c r="G179" s="29"/>
      <c r="H179" s="29"/>
      <c r="I179" s="29"/>
    </row>
    <row r="180">
      <c r="A180" s="29"/>
      <c r="B180" s="29"/>
      <c r="C180" s="29"/>
      <c r="D180" s="29"/>
      <c r="E180" s="29"/>
      <c r="F180" s="29"/>
      <c r="G180" s="29"/>
      <c r="H180" s="29"/>
      <c r="I180" s="29"/>
    </row>
  </sheetData>
  <mergeCells count="4">
    <mergeCell ref="A1:C1"/>
    <mergeCell ref="D1:F1"/>
    <mergeCell ref="G1:I1"/>
    <mergeCell ref="J1:K3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3" t="s">
        <v>163</v>
      </c>
    </row>
    <row r="2">
      <c r="A2" s="23" t="s">
        <v>24</v>
      </c>
    </row>
    <row r="3">
      <c r="A3" s="23" t="s">
        <v>152</v>
      </c>
    </row>
    <row r="4">
      <c r="A4" s="23" t="s">
        <v>21</v>
      </c>
    </row>
    <row r="5">
      <c r="A5" s="23" t="s">
        <v>47</v>
      </c>
    </row>
    <row r="6">
      <c r="A6" s="23" t="s">
        <v>69</v>
      </c>
    </row>
    <row r="7">
      <c r="A7" s="23" t="s">
        <v>81</v>
      </c>
    </row>
    <row r="8">
      <c r="A8" s="23" t="s">
        <v>132</v>
      </c>
    </row>
    <row r="9">
      <c r="A9" s="23" t="s">
        <v>57</v>
      </c>
    </row>
    <row r="10">
      <c r="A10" s="23" t="s">
        <v>119</v>
      </c>
    </row>
    <row r="11">
      <c r="A11" s="23" t="s">
        <v>12</v>
      </c>
    </row>
    <row r="12">
      <c r="A12" s="23" t="s">
        <v>147</v>
      </c>
    </row>
    <row r="13">
      <c r="A13" s="23" t="s">
        <v>172</v>
      </c>
    </row>
    <row r="14">
      <c r="A14" s="23" t="s">
        <v>83</v>
      </c>
    </row>
    <row r="15">
      <c r="A15" s="23" t="s">
        <v>163</v>
      </c>
    </row>
    <row r="16">
      <c r="A16" s="23" t="s">
        <v>24</v>
      </c>
    </row>
    <row r="17">
      <c r="A17" s="23" t="s">
        <v>152</v>
      </c>
    </row>
    <row r="18">
      <c r="A18" s="23" t="s">
        <v>30</v>
      </c>
    </row>
    <row r="19">
      <c r="A19" s="23" t="s">
        <v>77</v>
      </c>
    </row>
    <row r="20">
      <c r="A20" s="23" t="s">
        <v>69</v>
      </c>
    </row>
    <row r="21">
      <c r="A21" s="23" t="s">
        <v>81</v>
      </c>
    </row>
    <row r="22">
      <c r="A22" s="23" t="s">
        <v>109</v>
      </c>
    </row>
    <row r="23">
      <c r="A23" s="23" t="s">
        <v>160</v>
      </c>
    </row>
    <row r="24">
      <c r="A24" s="23" t="s">
        <v>12</v>
      </c>
    </row>
    <row r="25">
      <c r="A25" s="23" t="s">
        <v>147</v>
      </c>
    </row>
    <row r="26">
      <c r="A26" s="23" t="s">
        <v>15</v>
      </c>
    </row>
    <row r="27">
      <c r="A27" s="23" t="s">
        <v>83</v>
      </c>
    </row>
    <row r="28">
      <c r="A28" s="23" t="s">
        <v>45</v>
      </c>
    </row>
    <row r="29">
      <c r="A29" s="23" t="s">
        <v>92</v>
      </c>
    </row>
    <row r="30">
      <c r="A30" s="23" t="s">
        <v>30</v>
      </c>
    </row>
    <row r="31">
      <c r="A31" s="23" t="s">
        <v>77</v>
      </c>
    </row>
    <row r="32">
      <c r="A32" s="23" t="s">
        <v>69</v>
      </c>
    </row>
    <row r="33">
      <c r="A33" s="23" t="s">
        <v>81</v>
      </c>
    </row>
    <row r="34">
      <c r="A34" s="23" t="s">
        <v>34</v>
      </c>
    </row>
    <row r="35">
      <c r="A35" s="23" t="s">
        <v>109</v>
      </c>
    </row>
    <row r="36">
      <c r="A36" s="23" t="s">
        <v>160</v>
      </c>
    </row>
    <row r="37">
      <c r="A37" s="23" t="s">
        <v>12</v>
      </c>
    </row>
    <row r="38">
      <c r="A38" s="23" t="s">
        <v>172</v>
      </c>
    </row>
    <row r="39">
      <c r="A39" s="23" t="s">
        <v>15</v>
      </c>
    </row>
    <row r="40">
      <c r="A40" s="23" t="s">
        <v>45</v>
      </c>
    </row>
    <row r="41">
      <c r="A41" s="23" t="s">
        <v>92</v>
      </c>
    </row>
    <row r="42">
      <c r="A42" s="23" t="s">
        <v>41</v>
      </c>
    </row>
    <row r="43">
      <c r="A43" s="23" t="s">
        <v>30</v>
      </c>
    </row>
    <row r="44">
      <c r="A44" s="23" t="s">
        <v>85</v>
      </c>
    </row>
    <row r="45">
      <c r="A45" s="23" t="s">
        <v>69</v>
      </c>
    </row>
    <row r="46">
      <c r="A46" s="23" t="s">
        <v>81</v>
      </c>
    </row>
    <row r="47">
      <c r="A47" s="23" t="s">
        <v>37</v>
      </c>
    </row>
    <row r="48">
      <c r="A48" s="23" t="s">
        <v>34</v>
      </c>
    </row>
    <row r="49">
      <c r="A49" s="23" t="s">
        <v>109</v>
      </c>
    </row>
    <row r="50">
      <c r="A50" s="23" t="s">
        <v>160</v>
      </c>
    </row>
    <row r="51">
      <c r="A51" s="23" t="s">
        <v>12</v>
      </c>
    </row>
    <row r="52">
      <c r="A52" s="23" t="s">
        <v>172</v>
      </c>
    </row>
    <row r="53">
      <c r="A53" s="23" t="s">
        <v>15</v>
      </c>
    </row>
    <row r="54">
      <c r="A54" s="23" t="s">
        <v>83</v>
      </c>
    </row>
    <row r="55">
      <c r="A55" s="23" t="s">
        <v>92</v>
      </c>
    </row>
    <row r="56">
      <c r="A56" s="23" t="s">
        <v>21</v>
      </c>
    </row>
    <row r="57">
      <c r="A57" s="23" t="s">
        <v>41</v>
      </c>
    </row>
    <row r="58">
      <c r="A58" s="23" t="s">
        <v>47</v>
      </c>
    </row>
    <row r="59">
      <c r="A59" s="23" t="s">
        <v>30</v>
      </c>
    </row>
    <row r="60">
      <c r="A60" s="23" t="s">
        <v>85</v>
      </c>
    </row>
    <row r="61">
      <c r="A61" s="23" t="s">
        <v>81</v>
      </c>
    </row>
    <row r="62">
      <c r="A62" s="23" t="s">
        <v>99</v>
      </c>
    </row>
    <row r="63">
      <c r="A63" s="23" t="s">
        <v>109</v>
      </c>
    </row>
    <row r="64">
      <c r="A64" s="23" t="s">
        <v>160</v>
      </c>
    </row>
    <row r="65">
      <c r="A65" s="23" t="s">
        <v>12</v>
      </c>
    </row>
    <row r="66">
      <c r="A66" s="23" t="s">
        <v>172</v>
      </c>
    </row>
    <row r="67">
      <c r="A67" s="23" t="s">
        <v>83</v>
      </c>
    </row>
    <row r="68">
      <c r="A68" s="23" t="s">
        <v>173</v>
      </c>
    </row>
    <row r="69">
      <c r="A69" s="23" t="s">
        <v>92</v>
      </c>
    </row>
    <row r="70">
      <c r="A70" s="23" t="s">
        <v>41</v>
      </c>
    </row>
    <row r="71">
      <c r="A71" s="23" t="s">
        <v>47</v>
      </c>
    </row>
    <row r="72">
      <c r="A72" s="23" t="s">
        <v>30</v>
      </c>
    </row>
    <row r="73">
      <c r="A73" s="23" t="s">
        <v>99</v>
      </c>
    </row>
    <row r="74">
      <c r="A74" s="23" t="s">
        <v>57</v>
      </c>
    </row>
    <row r="75">
      <c r="A75" s="23" t="s">
        <v>109</v>
      </c>
    </row>
    <row r="76">
      <c r="A76" s="23" t="s">
        <v>160</v>
      </c>
    </row>
    <row r="77">
      <c r="A77" s="23" t="s">
        <v>12</v>
      </c>
    </row>
    <row r="78">
      <c r="A78" s="23" t="s">
        <v>172</v>
      </c>
    </row>
    <row r="79">
      <c r="A79" s="23" t="s">
        <v>41</v>
      </c>
    </row>
    <row r="80">
      <c r="A80" s="23" t="s">
        <v>135</v>
      </c>
    </row>
    <row r="81">
      <c r="A81" s="23" t="s">
        <v>57</v>
      </c>
    </row>
    <row r="82">
      <c r="A82" s="23" t="s">
        <v>160</v>
      </c>
    </row>
    <row r="83">
      <c r="A83" s="23" t="s">
        <v>41</v>
      </c>
    </row>
    <row r="84">
      <c r="A84" s="23" t="s">
        <v>47</v>
      </c>
    </row>
    <row r="85">
      <c r="A85" s="23" t="s">
        <v>132</v>
      </c>
    </row>
    <row r="86">
      <c r="A86" s="23" t="s">
        <v>135</v>
      </c>
    </row>
    <row r="87">
      <c r="A87" s="23" t="s">
        <v>28</v>
      </c>
    </row>
    <row r="88">
      <c r="A88" s="23" t="s">
        <v>163</v>
      </c>
    </row>
    <row r="89">
      <c r="A89" s="23" t="s">
        <v>152</v>
      </c>
    </row>
    <row r="90">
      <c r="A90" s="23" t="s">
        <v>47</v>
      </c>
    </row>
    <row r="91">
      <c r="A91" s="23" t="s">
        <v>85</v>
      </c>
    </row>
    <row r="92">
      <c r="A92" s="23" t="s">
        <v>69</v>
      </c>
    </row>
    <row r="93">
      <c r="A93" s="23" t="s">
        <v>81</v>
      </c>
    </row>
    <row r="94">
      <c r="A94" s="23" t="s">
        <v>132</v>
      </c>
    </row>
    <row r="95">
      <c r="A95" s="23" t="s">
        <v>135</v>
      </c>
    </row>
    <row r="96">
      <c r="A96" s="23" t="s">
        <v>28</v>
      </c>
    </row>
    <row r="97">
      <c r="A97" s="23" t="s">
        <v>163</v>
      </c>
    </row>
    <row r="98">
      <c r="A98" s="23" t="s">
        <v>152</v>
      </c>
    </row>
    <row r="99">
      <c r="A99" s="23" t="s">
        <v>45</v>
      </c>
    </row>
    <row r="100">
      <c r="A100" s="23" t="s">
        <v>85</v>
      </c>
    </row>
    <row r="101">
      <c r="A101" s="23" t="s">
        <v>81</v>
      </c>
    </row>
    <row r="102">
      <c r="A102" s="23" t="s">
        <v>132</v>
      </c>
    </row>
    <row r="103">
      <c r="A103" s="23" t="s">
        <v>160</v>
      </c>
    </row>
    <row r="104">
      <c r="A104" s="23" t="s">
        <v>163</v>
      </c>
    </row>
    <row r="105">
      <c r="A105" s="23" t="s">
        <v>152</v>
      </c>
    </row>
    <row r="106">
      <c r="A106" s="23" t="s">
        <v>85</v>
      </c>
    </row>
    <row r="107">
      <c r="A107" s="23" t="s">
        <v>81</v>
      </c>
    </row>
    <row r="108">
      <c r="A108" s="23" t="s">
        <v>132</v>
      </c>
    </row>
    <row r="109">
      <c r="A109" s="23" t="s">
        <v>160</v>
      </c>
    </row>
    <row r="110">
      <c r="A110" s="23" t="s">
        <v>64</v>
      </c>
    </row>
    <row r="111">
      <c r="A111" s="23" t="s">
        <v>163</v>
      </c>
    </row>
    <row r="112">
      <c r="A112" s="23" t="s">
        <v>152</v>
      </c>
    </row>
    <row r="113">
      <c r="A113" s="23" t="s">
        <v>85</v>
      </c>
    </row>
    <row r="114">
      <c r="A114" s="23" t="s">
        <v>81</v>
      </c>
    </row>
    <row r="115">
      <c r="A115" s="23" t="s">
        <v>12</v>
      </c>
    </row>
    <row r="116">
      <c r="A116" s="23" t="s">
        <v>163</v>
      </c>
    </row>
    <row r="117">
      <c r="A117" s="23" t="s">
        <v>152</v>
      </c>
    </row>
    <row r="118">
      <c r="A118" s="23" t="s">
        <v>92</v>
      </c>
    </row>
    <row r="119">
      <c r="A119" s="23" t="s">
        <v>85</v>
      </c>
    </row>
    <row r="120">
      <c r="A120" s="23" t="s">
        <v>69</v>
      </c>
    </row>
    <row r="121">
      <c r="A121" s="23" t="s">
        <v>81</v>
      </c>
    </row>
    <row r="122">
      <c r="A122" s="23" t="s">
        <v>34</v>
      </c>
    </row>
    <row r="123">
      <c r="A123" s="23" t="s">
        <v>109</v>
      </c>
    </row>
    <row r="124">
      <c r="A124" s="23" t="s">
        <v>160</v>
      </c>
    </row>
    <row r="125">
      <c r="A125" s="23" t="s">
        <v>147</v>
      </c>
    </row>
    <row r="126">
      <c r="A126" s="23" t="s">
        <v>64</v>
      </c>
    </row>
    <row r="127">
      <c r="A127" s="23" t="s">
        <v>172</v>
      </c>
    </row>
    <row r="128">
      <c r="A128" s="23" t="s">
        <v>15</v>
      </c>
    </row>
    <row r="129">
      <c r="A129" s="23" t="s">
        <v>152</v>
      </c>
    </row>
    <row r="130">
      <c r="A130" s="23" t="s">
        <v>92</v>
      </c>
    </row>
    <row r="131">
      <c r="A131" s="23" t="s">
        <v>85</v>
      </c>
    </row>
    <row r="132">
      <c r="A132" s="23" t="s">
        <v>69</v>
      </c>
    </row>
    <row r="133">
      <c r="A133" s="23" t="s">
        <v>132</v>
      </c>
    </row>
    <row r="134">
      <c r="A134" s="23" t="s">
        <v>34</v>
      </c>
    </row>
    <row r="135">
      <c r="A135" s="23" t="s">
        <v>109</v>
      </c>
    </row>
    <row r="136">
      <c r="A136" s="23" t="s">
        <v>147</v>
      </c>
    </row>
    <row r="137">
      <c r="A137" s="23" t="s">
        <v>172</v>
      </c>
    </row>
    <row r="138">
      <c r="A138" s="23" t="s">
        <v>49</v>
      </c>
    </row>
    <row r="139">
      <c r="A139" s="23" t="s">
        <v>173</v>
      </c>
    </row>
    <row r="140">
      <c r="A140" s="23" t="s">
        <v>163</v>
      </c>
    </row>
    <row r="141">
      <c r="A141" s="23" t="s">
        <v>152</v>
      </c>
    </row>
    <row r="142">
      <c r="A142" s="23" t="s">
        <v>45</v>
      </c>
    </row>
    <row r="143">
      <c r="A143" s="23" t="s">
        <v>92</v>
      </c>
    </row>
    <row r="144">
      <c r="A144" s="23" t="s">
        <v>21</v>
      </c>
    </row>
    <row r="145">
      <c r="A145" s="23" t="s">
        <v>85</v>
      </c>
    </row>
    <row r="146">
      <c r="A146" s="23" t="s">
        <v>69</v>
      </c>
    </row>
    <row r="147">
      <c r="A147" s="23" t="s">
        <v>81</v>
      </c>
    </row>
    <row r="148">
      <c r="A148" s="23" t="s">
        <v>132</v>
      </c>
    </row>
    <row r="149">
      <c r="A149" s="23" t="s">
        <v>34</v>
      </c>
    </row>
    <row r="150">
      <c r="A150" s="23" t="s">
        <v>109</v>
      </c>
    </row>
    <row r="151">
      <c r="A151" s="23" t="s">
        <v>160</v>
      </c>
    </row>
    <row r="152">
      <c r="A152" s="23" t="s">
        <v>119</v>
      </c>
    </row>
    <row r="153">
      <c r="A153" s="23" t="s">
        <v>12</v>
      </c>
    </row>
    <row r="154">
      <c r="A154" s="23" t="s">
        <v>147</v>
      </c>
    </row>
    <row r="155">
      <c r="A155" s="23" t="s">
        <v>172</v>
      </c>
    </row>
    <row r="156">
      <c r="A156" s="23" t="s">
        <v>163</v>
      </c>
    </row>
    <row r="157">
      <c r="A157" s="23" t="s">
        <v>152</v>
      </c>
    </row>
    <row r="158">
      <c r="A158" s="23" t="s">
        <v>45</v>
      </c>
    </row>
    <row r="159">
      <c r="A159" s="23" t="s">
        <v>92</v>
      </c>
    </row>
    <row r="160">
      <c r="A160" s="23" t="s">
        <v>85</v>
      </c>
    </row>
    <row r="161">
      <c r="A161" s="23" t="s">
        <v>69</v>
      </c>
    </row>
    <row r="162">
      <c r="A162" s="23" t="s">
        <v>81</v>
      </c>
    </row>
    <row r="163">
      <c r="A163" s="23" t="s">
        <v>132</v>
      </c>
    </row>
    <row r="164">
      <c r="A164" s="23" t="s">
        <v>34</v>
      </c>
    </row>
    <row r="165">
      <c r="A165" s="23" t="s">
        <v>109</v>
      </c>
    </row>
    <row r="166">
      <c r="A166" s="23" t="s">
        <v>160</v>
      </c>
    </row>
    <row r="167">
      <c r="A167" s="23" t="s">
        <v>12</v>
      </c>
    </row>
    <row r="168">
      <c r="A168" s="23" t="s">
        <v>147</v>
      </c>
    </row>
    <row r="169">
      <c r="A169" s="23" t="s">
        <v>172</v>
      </c>
    </row>
    <row r="170">
      <c r="A170" s="23" t="s">
        <v>49</v>
      </c>
    </row>
    <row r="171">
      <c r="A171" s="23" t="s">
        <v>21</v>
      </c>
    </row>
    <row r="172">
      <c r="A172" s="23" t="s">
        <v>173</v>
      </c>
    </row>
    <row r="173">
      <c r="A173" s="23" t="s">
        <v>163</v>
      </c>
    </row>
    <row r="174">
      <c r="A174" s="23" t="s">
        <v>24</v>
      </c>
    </row>
    <row r="175">
      <c r="A175" s="23" t="s">
        <v>152</v>
      </c>
    </row>
    <row r="176">
      <c r="A176" s="23" t="s">
        <v>45</v>
      </c>
    </row>
    <row r="177">
      <c r="A177" s="23" t="s">
        <v>69</v>
      </c>
    </row>
    <row r="178">
      <c r="A178" s="23" t="s">
        <v>81</v>
      </c>
    </row>
    <row r="179">
      <c r="A179" s="23" t="s">
        <v>132</v>
      </c>
    </row>
    <row r="180">
      <c r="A180" s="23" t="s">
        <v>34</v>
      </c>
    </row>
    <row r="181">
      <c r="A181" s="23" t="s">
        <v>57</v>
      </c>
    </row>
    <row r="182">
      <c r="A182" s="23" t="s">
        <v>109</v>
      </c>
    </row>
    <row r="183">
      <c r="A183" s="23" t="s">
        <v>160</v>
      </c>
    </row>
    <row r="184">
      <c r="A184" s="23" t="s">
        <v>12</v>
      </c>
    </row>
    <row r="185">
      <c r="A185" s="23" t="s">
        <v>147</v>
      </c>
    </row>
    <row r="186">
      <c r="A186" s="23" t="s">
        <v>64</v>
      </c>
    </row>
    <row r="187">
      <c r="A187" s="23" t="s">
        <v>172</v>
      </c>
    </row>
    <row r="188">
      <c r="A188" s="23" t="s">
        <v>15</v>
      </c>
    </row>
    <row r="189">
      <c r="A189" s="23" t="s">
        <v>49</v>
      </c>
    </row>
    <row r="190">
      <c r="A190" s="50" t="s">
        <v>85</v>
      </c>
    </row>
    <row r="191">
      <c r="A191" s="23" t="s">
        <v>21</v>
      </c>
    </row>
    <row r="192">
      <c r="A192" s="23" t="s">
        <v>173</v>
      </c>
    </row>
    <row r="193">
      <c r="A193" s="23" t="s">
        <v>24</v>
      </c>
    </row>
    <row r="194">
      <c r="A194" s="23" t="s">
        <v>152</v>
      </c>
    </row>
    <row r="195">
      <c r="A195" s="23" t="s">
        <v>92</v>
      </c>
    </row>
    <row r="196">
      <c r="A196" s="23" t="s">
        <v>30</v>
      </c>
    </row>
    <row r="197">
      <c r="A197" s="23" t="s">
        <v>81</v>
      </c>
    </row>
    <row r="198">
      <c r="A198" s="23" t="s">
        <v>132</v>
      </c>
    </row>
    <row r="199">
      <c r="A199" s="23" t="s">
        <v>57</v>
      </c>
    </row>
    <row r="200">
      <c r="A200" s="23" t="s">
        <v>160</v>
      </c>
    </row>
    <row r="201">
      <c r="A201" s="23" t="s">
        <v>12</v>
      </c>
    </row>
    <row r="202">
      <c r="A202" s="23" t="s">
        <v>147</v>
      </c>
    </row>
    <row r="203">
      <c r="A203" s="23" t="s">
        <v>64</v>
      </c>
    </row>
    <row r="204">
      <c r="A204" s="23" t="s">
        <v>172</v>
      </c>
    </row>
    <row r="205">
      <c r="A205" s="23" t="s">
        <v>156</v>
      </c>
    </row>
    <row r="206">
      <c r="A206" s="23" t="s">
        <v>49</v>
      </c>
    </row>
    <row r="207">
      <c r="A207" s="23" t="s">
        <v>24</v>
      </c>
    </row>
    <row r="208">
      <c r="A208" s="23" t="s">
        <v>152</v>
      </c>
    </row>
    <row r="209">
      <c r="A209" s="23" t="s">
        <v>45</v>
      </c>
    </row>
    <row r="210">
      <c r="A210" s="23" t="s">
        <v>92</v>
      </c>
    </row>
    <row r="211">
      <c r="A211" s="23" t="s">
        <v>41</v>
      </c>
    </row>
    <row r="212">
      <c r="A212" s="23" t="s">
        <v>47</v>
      </c>
    </row>
    <row r="213">
      <c r="A213" s="23" t="s">
        <v>30</v>
      </c>
    </row>
    <row r="214">
      <c r="A214" s="23" t="s">
        <v>81</v>
      </c>
    </row>
    <row r="215">
      <c r="A215" s="23" t="s">
        <v>132</v>
      </c>
    </row>
    <row r="216">
      <c r="A216" s="23" t="s">
        <v>57</v>
      </c>
    </row>
    <row r="217">
      <c r="A217" s="23" t="s">
        <v>160</v>
      </c>
    </row>
    <row r="218">
      <c r="A218" s="23" t="s">
        <v>12</v>
      </c>
    </row>
    <row r="219">
      <c r="A219" s="23" t="s">
        <v>147</v>
      </c>
    </row>
    <row r="220">
      <c r="A220" s="23" t="s">
        <v>64</v>
      </c>
    </row>
    <row r="221">
      <c r="A221" s="23" t="s">
        <v>172</v>
      </c>
    </row>
    <row r="222">
      <c r="A222" s="23" t="s">
        <v>15</v>
      </c>
    </row>
    <row r="223">
      <c r="A223" s="23" t="s">
        <v>49</v>
      </c>
    </row>
    <row r="224">
      <c r="A224" s="23" t="s">
        <v>45</v>
      </c>
    </row>
    <row r="225">
      <c r="A225" s="23" t="s">
        <v>92</v>
      </c>
    </row>
    <row r="226">
      <c r="A226" s="23" t="s">
        <v>41</v>
      </c>
    </row>
    <row r="227">
      <c r="A227" s="23" t="s">
        <v>47</v>
      </c>
    </row>
    <row r="228">
      <c r="A228" s="23" t="s">
        <v>30</v>
      </c>
    </row>
    <row r="229">
      <c r="A229" s="23" t="s">
        <v>132</v>
      </c>
    </row>
    <row r="230">
      <c r="A230" s="23" t="s">
        <v>57</v>
      </c>
    </row>
    <row r="231">
      <c r="A231" s="23" t="s">
        <v>160</v>
      </c>
    </row>
    <row r="232">
      <c r="A232" s="23" t="s">
        <v>147</v>
      </c>
    </row>
    <row r="233">
      <c r="A233" s="23" t="s">
        <v>64</v>
      </c>
    </row>
    <row r="234">
      <c r="A234" s="23" t="s">
        <v>49</v>
      </c>
    </row>
    <row r="235">
      <c r="A235" s="23" t="s">
        <v>24</v>
      </c>
    </row>
    <row r="236">
      <c r="A236" s="23" t="s">
        <v>45</v>
      </c>
    </row>
    <row r="237">
      <c r="A237" s="23" t="s">
        <v>92</v>
      </c>
    </row>
    <row r="238">
      <c r="A238" s="23" t="s">
        <v>47</v>
      </c>
    </row>
    <row r="239">
      <c r="A239" s="23" t="s">
        <v>135</v>
      </c>
    </row>
    <row r="240">
      <c r="A240" s="23" t="s">
        <v>109</v>
      </c>
    </row>
    <row r="241">
      <c r="A241" s="23" t="s">
        <v>160</v>
      </c>
    </row>
    <row r="242">
      <c r="A242" s="23" t="s">
        <v>64</v>
      </c>
    </row>
    <row r="243">
      <c r="A243" s="23" t="s">
        <v>172</v>
      </c>
    </row>
    <row r="244">
      <c r="A244" s="23" t="s">
        <v>163</v>
      </c>
    </row>
    <row r="245">
      <c r="A245" s="23" t="s">
        <v>152</v>
      </c>
    </row>
    <row r="246">
      <c r="A246" s="23" t="s">
        <v>85</v>
      </c>
    </row>
    <row r="247">
      <c r="A247" s="23" t="s">
        <v>69</v>
      </c>
    </row>
    <row r="248">
      <c r="A248" s="23" t="s">
        <v>132</v>
      </c>
    </row>
    <row r="249">
      <c r="A249" s="23" t="s">
        <v>12</v>
      </c>
    </row>
    <row r="250">
      <c r="A250" s="23" t="s">
        <v>64</v>
      </c>
    </row>
    <row r="251">
      <c r="A251" s="23" t="s">
        <v>15</v>
      </c>
    </row>
    <row r="252">
      <c r="A252" s="23" t="s">
        <v>163</v>
      </c>
    </row>
    <row r="253">
      <c r="A253" s="23" t="s">
        <v>24</v>
      </c>
    </row>
    <row r="254">
      <c r="A254" s="23" t="s">
        <v>152</v>
      </c>
    </row>
    <row r="255">
      <c r="A255" s="23" t="s">
        <v>45</v>
      </c>
    </row>
    <row r="256">
      <c r="A256" s="23" t="s">
        <v>85</v>
      </c>
    </row>
    <row r="257">
      <c r="A257" s="23" t="s">
        <v>69</v>
      </c>
    </row>
    <row r="258">
      <c r="A258" s="23" t="s">
        <v>132</v>
      </c>
    </row>
    <row r="259">
      <c r="A259" s="23" t="s">
        <v>12</v>
      </c>
    </row>
    <row r="260">
      <c r="A260" s="23" t="s">
        <v>64</v>
      </c>
    </row>
    <row r="261">
      <c r="A261" s="23" t="s">
        <v>28</v>
      </c>
    </row>
    <row r="262">
      <c r="A262" s="23" t="s">
        <v>163</v>
      </c>
    </row>
    <row r="263">
      <c r="A263" s="23" t="s">
        <v>152</v>
      </c>
    </row>
    <row r="264">
      <c r="A264" s="23" t="s">
        <v>45</v>
      </c>
    </row>
    <row r="265">
      <c r="A265" s="23" t="s">
        <v>85</v>
      </c>
    </row>
    <row r="266">
      <c r="A266" s="23" t="s">
        <v>69</v>
      </c>
    </row>
    <row r="267">
      <c r="A267" s="23" t="s">
        <v>132</v>
      </c>
    </row>
    <row r="268">
      <c r="A268" s="23" t="s">
        <v>160</v>
      </c>
    </row>
    <row r="269">
      <c r="A269" s="23" t="s">
        <v>12</v>
      </c>
    </row>
    <row r="270">
      <c r="A270" s="23" t="s">
        <v>64</v>
      </c>
    </row>
    <row r="271">
      <c r="A271" s="23" t="s">
        <v>28</v>
      </c>
    </row>
    <row r="272">
      <c r="A272" s="23" t="s">
        <v>17</v>
      </c>
    </row>
    <row r="273">
      <c r="A273" s="23" t="s">
        <v>163</v>
      </c>
    </row>
    <row r="274">
      <c r="A274" s="23" t="s">
        <v>152</v>
      </c>
    </row>
    <row r="275">
      <c r="A275" s="23" t="s">
        <v>45</v>
      </c>
    </row>
    <row r="276">
      <c r="A276" s="23" t="s">
        <v>85</v>
      </c>
    </row>
    <row r="277">
      <c r="A277" s="23" t="s">
        <v>69</v>
      </c>
    </row>
    <row r="278">
      <c r="A278" s="23" t="s">
        <v>160</v>
      </c>
    </row>
    <row r="279">
      <c r="A279" s="23" t="s">
        <v>64</v>
      </c>
    </row>
    <row r="280">
      <c r="A280" s="23" t="s">
        <v>28</v>
      </c>
    </row>
    <row r="281">
      <c r="A281" s="23" t="s">
        <v>163</v>
      </c>
    </row>
    <row r="282">
      <c r="A282" s="23" t="s">
        <v>152</v>
      </c>
    </row>
    <row r="283">
      <c r="A283" s="23" t="s">
        <v>92</v>
      </c>
    </row>
    <row r="284">
      <c r="A284" s="23" t="s">
        <v>85</v>
      </c>
    </row>
    <row r="285">
      <c r="A285" s="23" t="s">
        <v>69</v>
      </c>
    </row>
    <row r="286">
      <c r="A286" s="23" t="s">
        <v>64</v>
      </c>
    </row>
    <row r="287">
      <c r="A287" s="23" t="s">
        <v>28</v>
      </c>
    </row>
    <row r="288">
      <c r="A288" s="23" t="s">
        <v>163</v>
      </c>
    </row>
    <row r="289">
      <c r="A289" s="23" t="s">
        <v>152</v>
      </c>
    </row>
    <row r="290">
      <c r="A290" s="23" t="s">
        <v>92</v>
      </c>
    </row>
    <row r="291">
      <c r="A291" s="23" t="s">
        <v>21</v>
      </c>
    </row>
    <row r="292">
      <c r="A292" s="23" t="s">
        <v>85</v>
      </c>
    </row>
    <row r="293">
      <c r="A293" s="23" t="s">
        <v>64</v>
      </c>
    </row>
    <row r="294">
      <c r="A294" s="23" t="s">
        <v>28</v>
      </c>
    </row>
    <row r="295">
      <c r="A295" s="23" t="s">
        <v>163</v>
      </c>
    </row>
    <row r="296">
      <c r="A296" s="23" t="s">
        <v>152</v>
      </c>
    </row>
    <row r="297">
      <c r="A297" s="23" t="s">
        <v>92</v>
      </c>
    </row>
    <row r="298">
      <c r="A298" s="23" t="s">
        <v>21</v>
      </c>
    </row>
    <row r="299">
      <c r="A299" s="23" t="s">
        <v>85</v>
      </c>
    </row>
    <row r="300">
      <c r="A300" s="23" t="s">
        <v>69</v>
      </c>
    </row>
    <row r="301">
      <c r="A301" s="23" t="s">
        <v>81</v>
      </c>
    </row>
    <row r="302">
      <c r="A302" s="23" t="s">
        <v>132</v>
      </c>
    </row>
    <row r="303">
      <c r="A303" s="23" t="s">
        <v>99</v>
      </c>
    </row>
    <row r="304">
      <c r="A304" s="23" t="s">
        <v>12</v>
      </c>
    </row>
    <row r="305">
      <c r="A305" s="23" t="s">
        <v>64</v>
      </c>
    </row>
    <row r="306">
      <c r="A306" s="23" t="s">
        <v>28</v>
      </c>
    </row>
    <row r="307">
      <c r="A307" s="23" t="s">
        <v>21</v>
      </c>
    </row>
    <row r="308">
      <c r="A308" s="50" t="s">
        <v>85</v>
      </c>
    </row>
    <row r="309">
      <c r="A309" s="23" t="s">
        <v>163</v>
      </c>
    </row>
    <row r="310">
      <c r="A310" s="23" t="s">
        <v>24</v>
      </c>
    </row>
    <row r="311">
      <c r="A311" s="23" t="s">
        <v>152</v>
      </c>
    </row>
    <row r="312">
      <c r="A312" s="23" t="s">
        <v>92</v>
      </c>
    </row>
    <row r="313">
      <c r="A313" s="23" t="s">
        <v>113</v>
      </c>
    </row>
    <row r="314">
      <c r="A314" s="23" t="s">
        <v>69</v>
      </c>
    </row>
    <row r="315">
      <c r="A315" s="23" t="s">
        <v>81</v>
      </c>
    </row>
    <row r="316">
      <c r="A316" s="23" t="s">
        <v>132</v>
      </c>
    </row>
    <row r="317">
      <c r="A317" s="23" t="s">
        <v>57</v>
      </c>
    </row>
    <row r="318">
      <c r="A318" s="23" t="s">
        <v>109</v>
      </c>
    </row>
    <row r="319">
      <c r="A319" s="23" t="s">
        <v>160</v>
      </c>
    </row>
    <row r="320">
      <c r="A320" s="23" t="s">
        <v>64</v>
      </c>
    </row>
    <row r="321">
      <c r="A321" s="23" t="s">
        <v>172</v>
      </c>
    </row>
    <row r="322">
      <c r="A322" s="23" t="s">
        <v>49</v>
      </c>
    </row>
    <row r="323">
      <c r="A323" s="23" t="s">
        <v>92</v>
      </c>
    </row>
    <row r="324">
      <c r="A324" s="23" t="s">
        <v>113</v>
      </c>
    </row>
    <row r="325">
      <c r="A325" s="23" t="s">
        <v>85</v>
      </c>
    </row>
    <row r="326">
      <c r="A326" s="23" t="s">
        <v>81</v>
      </c>
    </row>
    <row r="327">
      <c r="A327" s="23" t="s">
        <v>132</v>
      </c>
    </row>
    <row r="328">
      <c r="A328" s="23" t="s">
        <v>57</v>
      </c>
    </row>
    <row r="329">
      <c r="A329" s="23" t="s">
        <v>160</v>
      </c>
    </row>
    <row r="330">
      <c r="A330" s="23" t="s">
        <v>64</v>
      </c>
    </row>
    <row r="331">
      <c r="A331" s="23" t="s">
        <v>172</v>
      </c>
    </row>
    <row r="332">
      <c r="A332" s="23" t="s">
        <v>49</v>
      </c>
    </row>
    <row r="333">
      <c r="A333" s="23" t="s">
        <v>41</v>
      </c>
    </row>
    <row r="334">
      <c r="A334" s="23" t="s">
        <v>113</v>
      </c>
    </row>
    <row r="335">
      <c r="A335" s="23" t="s">
        <v>132</v>
      </c>
    </row>
    <row r="336">
      <c r="A336" s="23" t="s">
        <v>121</v>
      </c>
    </row>
    <row r="337">
      <c r="A337" s="23" t="s">
        <v>135</v>
      </c>
    </row>
    <row r="338">
      <c r="A338" s="23" t="s">
        <v>57</v>
      </c>
    </row>
    <row r="339">
      <c r="A339" s="23" t="s">
        <v>109</v>
      </c>
    </row>
    <row r="340">
      <c r="A340" s="23" t="s">
        <v>160</v>
      </c>
    </row>
    <row r="341">
      <c r="A341" s="23" t="s">
        <v>64</v>
      </c>
    </row>
    <row r="342">
      <c r="A342" s="23" t="s">
        <v>172</v>
      </c>
    </row>
    <row r="343">
      <c r="A343" s="23" t="s">
        <v>137</v>
      </c>
    </row>
    <row r="344">
      <c r="A344" s="23" t="s">
        <v>49</v>
      </c>
    </row>
    <row r="345">
      <c r="A345" s="23" t="s">
        <v>41</v>
      </c>
    </row>
    <row r="346">
      <c r="A346" s="23" t="s">
        <v>113</v>
      </c>
    </row>
    <row r="347">
      <c r="A347" s="23" t="s">
        <v>81</v>
      </c>
    </row>
    <row r="348">
      <c r="A348" s="23" t="s">
        <v>132</v>
      </c>
    </row>
    <row r="349">
      <c r="A349" s="23" t="s">
        <v>135</v>
      </c>
    </row>
    <row r="350">
      <c r="A350" s="23" t="s">
        <v>57</v>
      </c>
    </row>
    <row r="351">
      <c r="A351" s="23" t="s">
        <v>160</v>
      </c>
    </row>
    <row r="352">
      <c r="A352" s="23" t="s">
        <v>64</v>
      </c>
    </row>
    <row r="353">
      <c r="A353" s="23" t="s">
        <v>172</v>
      </c>
    </row>
    <row r="354">
      <c r="A354" s="23" t="s">
        <v>49</v>
      </c>
    </row>
    <row r="355">
      <c r="A355" s="23" t="s">
        <v>41</v>
      </c>
    </row>
    <row r="356">
      <c r="A356" s="23" t="s">
        <v>47</v>
      </c>
    </row>
    <row r="357">
      <c r="A357" s="23" t="s">
        <v>121</v>
      </c>
    </row>
    <row r="358">
      <c r="A358" s="23" t="s">
        <v>135</v>
      </c>
    </row>
    <row r="359">
      <c r="A359" s="23" t="s">
        <v>57</v>
      </c>
    </row>
    <row r="360">
      <c r="A360" s="23" t="s">
        <v>160</v>
      </c>
    </row>
    <row r="361">
      <c r="A361" s="23" t="s">
        <v>147</v>
      </c>
    </row>
    <row r="362">
      <c r="A362" s="23" t="s">
        <v>163</v>
      </c>
    </row>
    <row r="363">
      <c r="A363" s="23" t="s">
        <v>152</v>
      </c>
    </row>
    <row r="364">
      <c r="A364" s="23" t="s">
        <v>45</v>
      </c>
    </row>
    <row r="365">
      <c r="A365" s="23" t="s">
        <v>85</v>
      </c>
    </row>
    <row r="366">
      <c r="A366" s="23" t="s">
        <v>132</v>
      </c>
    </row>
    <row r="367">
      <c r="A367" s="23" t="s">
        <v>160</v>
      </c>
    </row>
    <row r="368">
      <c r="A368" s="23" t="s">
        <v>28</v>
      </c>
    </row>
    <row r="369">
      <c r="A369" s="23" t="s">
        <v>163</v>
      </c>
    </row>
    <row r="370">
      <c r="A370" s="23" t="s">
        <v>152</v>
      </c>
    </row>
    <row r="371">
      <c r="A371" s="23" t="s">
        <v>45</v>
      </c>
    </row>
    <row r="372">
      <c r="A372" s="23" t="s">
        <v>21</v>
      </c>
    </row>
    <row r="373">
      <c r="A373" s="23" t="s">
        <v>85</v>
      </c>
    </row>
    <row r="374">
      <c r="A374" s="23" t="s">
        <v>160</v>
      </c>
    </row>
    <row r="375">
      <c r="A375" s="23" t="s">
        <v>28</v>
      </c>
    </row>
    <row r="376">
      <c r="A376" s="23" t="s">
        <v>163</v>
      </c>
    </row>
    <row r="377">
      <c r="A377" s="23" t="s">
        <v>152</v>
      </c>
    </row>
    <row r="378">
      <c r="A378" s="23" t="s">
        <v>45</v>
      </c>
    </row>
    <row r="379">
      <c r="A379" s="23" t="s">
        <v>85</v>
      </c>
    </row>
    <row r="380">
      <c r="A380" s="23" t="s">
        <v>132</v>
      </c>
    </row>
    <row r="381">
      <c r="A381" s="23" t="s">
        <v>12</v>
      </c>
    </row>
    <row r="382">
      <c r="A382" s="23" t="s">
        <v>28</v>
      </c>
    </row>
    <row r="383">
      <c r="A383" s="23" t="s">
        <v>163</v>
      </c>
    </row>
    <row r="384">
      <c r="A384" s="23" t="s">
        <v>28</v>
      </c>
    </row>
    <row r="385">
      <c r="A385" s="23" t="s">
        <v>21</v>
      </c>
    </row>
    <row r="386">
      <c r="A386" s="23" t="s">
        <v>163</v>
      </c>
    </row>
    <row r="387">
      <c r="A387" s="23" t="s">
        <v>152</v>
      </c>
    </row>
    <row r="388">
      <c r="A388" s="23" t="s">
        <v>92</v>
      </c>
    </row>
    <row r="389">
      <c r="A389" s="23" t="s">
        <v>85</v>
      </c>
    </row>
    <row r="390">
      <c r="A390" s="23" t="s">
        <v>132</v>
      </c>
    </row>
    <row r="391">
      <c r="A391" s="23" t="s">
        <v>12</v>
      </c>
    </row>
    <row r="392">
      <c r="A392" s="23" t="s">
        <v>147</v>
      </c>
    </row>
    <row r="393">
      <c r="A393" s="23" t="s">
        <v>28</v>
      </c>
    </row>
    <row r="394">
      <c r="A394" s="23" t="s">
        <v>15</v>
      </c>
    </row>
    <row r="395">
      <c r="A395" s="23" t="s">
        <v>49</v>
      </c>
    </row>
    <row r="396">
      <c r="A396" s="23" t="s">
        <v>92</v>
      </c>
    </row>
    <row r="397">
      <c r="A397" s="23" t="s">
        <v>85</v>
      </c>
    </row>
    <row r="398">
      <c r="A398" s="23" t="s">
        <v>160</v>
      </c>
    </row>
    <row r="399">
      <c r="A399" s="23" t="s">
        <v>119</v>
      </c>
    </row>
    <row r="400">
      <c r="A400" s="23" t="s">
        <v>12</v>
      </c>
    </row>
    <row r="401">
      <c r="A401" s="23" t="s">
        <v>147</v>
      </c>
    </row>
    <row r="402">
      <c r="A402" s="23" t="s">
        <v>85</v>
      </c>
    </row>
    <row r="403">
      <c r="A403" s="23" t="s">
        <v>160</v>
      </c>
    </row>
    <row r="404">
      <c r="A404" s="23" t="s">
        <v>119</v>
      </c>
    </row>
    <row r="405">
      <c r="A405" s="23" t="s">
        <v>12</v>
      </c>
    </row>
    <row r="406">
      <c r="A406" s="23" t="s">
        <v>147</v>
      </c>
    </row>
    <row r="407">
      <c r="A407" s="23" t="s">
        <v>132</v>
      </c>
    </row>
    <row r="408">
      <c r="A408" s="23" t="s">
        <v>12</v>
      </c>
    </row>
    <row r="409">
      <c r="A409" s="23" t="s">
        <v>92</v>
      </c>
    </row>
    <row r="410">
      <c r="A410" s="23" t="s">
        <v>85</v>
      </c>
    </row>
    <row r="411">
      <c r="A411" s="23" t="s">
        <v>132</v>
      </c>
    </row>
    <row r="412">
      <c r="A412" s="23" t="s">
        <v>160</v>
      </c>
    </row>
    <row r="413">
      <c r="A413" s="23" t="s">
        <v>119</v>
      </c>
    </row>
    <row r="414">
      <c r="A414" s="23" t="s">
        <v>12</v>
      </c>
    </row>
    <row r="415">
      <c r="A415" s="23" t="s">
        <v>147</v>
      </c>
    </row>
    <row r="416">
      <c r="A416" s="23" t="s">
        <v>15</v>
      </c>
    </row>
    <row r="417">
      <c r="A417" s="23" t="s">
        <v>163</v>
      </c>
    </row>
    <row r="418">
      <c r="A418" s="23" t="s">
        <v>24</v>
      </c>
    </row>
    <row r="419">
      <c r="A419" s="23" t="s">
        <v>92</v>
      </c>
    </row>
    <row r="420">
      <c r="A420" s="23" t="s">
        <v>174</v>
      </c>
    </row>
    <row r="421">
      <c r="A421" s="23" t="s">
        <v>30</v>
      </c>
    </row>
    <row r="422">
      <c r="A422" s="23" t="s">
        <v>85</v>
      </c>
    </row>
    <row r="423">
      <c r="A423" s="23" t="s">
        <v>77</v>
      </c>
    </row>
    <row r="424">
      <c r="A424" s="23" t="s">
        <v>81</v>
      </c>
    </row>
    <row r="425">
      <c r="A425" s="23" t="s">
        <v>37</v>
      </c>
    </row>
    <row r="426">
      <c r="A426" s="23" t="s">
        <v>132</v>
      </c>
    </row>
    <row r="427">
      <c r="A427" s="23" t="s">
        <v>109</v>
      </c>
    </row>
    <row r="428">
      <c r="A428" s="23" t="s">
        <v>160</v>
      </c>
    </row>
    <row r="429">
      <c r="A429" s="23" t="s">
        <v>119</v>
      </c>
    </row>
    <row r="430">
      <c r="A430" s="23" t="s">
        <v>12</v>
      </c>
    </row>
    <row r="431">
      <c r="A431" s="23" t="s">
        <v>139</v>
      </c>
    </row>
    <row r="432">
      <c r="A432" s="23" t="s">
        <v>147</v>
      </c>
    </row>
    <row r="433">
      <c r="A433" s="23" t="s">
        <v>172</v>
      </c>
    </row>
    <row r="434">
      <c r="A434" s="23" t="s">
        <v>175</v>
      </c>
    </row>
    <row r="435">
      <c r="A435" s="23" t="s">
        <v>49</v>
      </c>
    </row>
    <row r="436">
      <c r="A436" s="23" t="s">
        <v>163</v>
      </c>
    </row>
    <row r="437">
      <c r="A437" s="23" t="s">
        <v>152</v>
      </c>
    </row>
    <row r="438">
      <c r="A438" s="23" t="s">
        <v>154</v>
      </c>
    </row>
    <row r="439">
      <c r="A439" s="23" t="s">
        <v>21</v>
      </c>
    </row>
    <row r="440">
      <c r="A440" s="23" t="s">
        <v>32</v>
      </c>
    </row>
    <row r="441">
      <c r="A441" s="23" t="s">
        <v>47</v>
      </c>
    </row>
    <row r="442">
      <c r="A442" s="23" t="s">
        <v>30</v>
      </c>
    </row>
    <row r="443">
      <c r="A443" s="23" t="s">
        <v>85</v>
      </c>
    </row>
    <row r="444">
      <c r="A444" s="23" t="s">
        <v>81</v>
      </c>
    </row>
    <row r="445">
      <c r="A445" s="23" t="s">
        <v>132</v>
      </c>
    </row>
    <row r="446">
      <c r="A446" s="23" t="s">
        <v>57</v>
      </c>
    </row>
    <row r="447">
      <c r="A447" s="23" t="s">
        <v>109</v>
      </c>
    </row>
    <row r="448">
      <c r="A448" s="23" t="s">
        <v>160</v>
      </c>
    </row>
    <row r="449">
      <c r="A449" s="23" t="s">
        <v>119</v>
      </c>
    </row>
    <row r="450">
      <c r="A450" s="23" t="s">
        <v>12</v>
      </c>
    </row>
    <row r="451">
      <c r="A451" s="23" t="s">
        <v>139</v>
      </c>
    </row>
    <row r="452">
      <c r="A452" s="23" t="s">
        <v>147</v>
      </c>
    </row>
    <row r="453">
      <c r="A453" s="23" t="s">
        <v>64</v>
      </c>
    </row>
    <row r="454">
      <c r="A454" s="23" t="s">
        <v>172</v>
      </c>
    </row>
    <row r="455">
      <c r="A455" s="23" t="s">
        <v>49</v>
      </c>
    </row>
    <row r="456">
      <c r="A456" s="23" t="s">
        <v>152</v>
      </c>
    </row>
    <row r="457">
      <c r="A457" s="23" t="s">
        <v>154</v>
      </c>
    </row>
    <row r="458">
      <c r="A458" s="23" t="s">
        <v>21</v>
      </c>
    </row>
    <row r="459">
      <c r="A459" s="23" t="s">
        <v>32</v>
      </c>
    </row>
    <row r="460">
      <c r="A460" s="23" t="s">
        <v>47</v>
      </c>
    </row>
    <row r="461">
      <c r="A461" s="23" t="s">
        <v>81</v>
      </c>
    </row>
    <row r="462">
      <c r="A462" s="23" t="s">
        <v>57</v>
      </c>
    </row>
    <row r="463">
      <c r="A463" s="23" t="s">
        <v>160</v>
      </c>
    </row>
    <row r="464">
      <c r="A464" s="23" t="s">
        <v>139</v>
      </c>
    </row>
    <row r="465">
      <c r="A465" s="23" t="s">
        <v>64</v>
      </c>
    </row>
    <row r="466">
      <c r="A466" s="23" t="s">
        <v>156</v>
      </c>
    </row>
    <row r="467">
      <c r="A467" s="23" t="s">
        <v>49</v>
      </c>
    </row>
    <row r="468">
      <c r="A468" s="23" t="s">
        <v>152</v>
      </c>
    </row>
    <row r="469">
      <c r="A469" s="23" t="s">
        <v>45</v>
      </c>
    </row>
    <row r="470">
      <c r="A470" s="23" t="s">
        <v>154</v>
      </c>
    </row>
    <row r="471">
      <c r="A471" s="23" t="s">
        <v>21</v>
      </c>
    </row>
    <row r="472">
      <c r="A472" s="23" t="s">
        <v>41</v>
      </c>
    </row>
    <row r="473">
      <c r="A473" s="23" t="s">
        <v>47</v>
      </c>
    </row>
    <row r="474">
      <c r="A474" s="23" t="s">
        <v>81</v>
      </c>
    </row>
    <row r="475">
      <c r="A475" s="23" t="s">
        <v>57</v>
      </c>
    </row>
    <row r="476">
      <c r="A476" s="23" t="s">
        <v>160</v>
      </c>
    </row>
    <row r="477">
      <c r="A477" s="23" t="s">
        <v>119</v>
      </c>
    </row>
    <row r="478">
      <c r="A478" s="23" t="s">
        <v>12</v>
      </c>
    </row>
    <row r="479">
      <c r="A479" s="23" t="s">
        <v>139</v>
      </c>
    </row>
    <row r="480">
      <c r="A480" s="23" t="s">
        <v>64</v>
      </c>
    </row>
    <row r="481">
      <c r="A481" s="23" t="s">
        <v>172</v>
      </c>
    </row>
    <row r="482">
      <c r="A482" s="23" t="s">
        <v>15</v>
      </c>
    </row>
    <row r="483">
      <c r="A483" s="23" t="s">
        <v>49</v>
      </c>
    </row>
    <row r="484">
      <c r="A484" s="23" t="s">
        <v>21</v>
      </c>
    </row>
    <row r="485">
      <c r="A485" s="23" t="s">
        <v>41</v>
      </c>
    </row>
    <row r="486">
      <c r="A486" s="23" t="s">
        <v>47</v>
      </c>
    </row>
    <row r="487">
      <c r="A487" s="23" t="s">
        <v>135</v>
      </c>
    </row>
    <row r="488">
      <c r="A488" s="23" t="s">
        <v>57</v>
      </c>
    </row>
    <row r="489">
      <c r="A489" s="23" t="s">
        <v>160</v>
      </c>
    </row>
    <row r="490">
      <c r="A490" s="23" t="s">
        <v>119</v>
      </c>
    </row>
    <row r="491">
      <c r="A491" s="23" t="s">
        <v>139</v>
      </c>
    </row>
    <row r="492">
      <c r="A492" s="23" t="s">
        <v>172</v>
      </c>
    </row>
    <row r="493">
      <c r="A493" s="23" t="s">
        <v>163</v>
      </c>
    </row>
    <row r="494">
      <c r="A494" s="23" t="s">
        <v>41</v>
      </c>
    </row>
    <row r="495">
      <c r="A495" s="23" t="s">
        <v>85</v>
      </c>
    </row>
    <row r="496">
      <c r="A496" s="23" t="s">
        <v>69</v>
      </c>
    </row>
    <row r="497">
      <c r="A497" s="23" t="s">
        <v>135</v>
      </c>
    </row>
    <row r="498">
      <c r="A498" s="23" t="s">
        <v>139</v>
      </c>
    </row>
    <row r="499">
      <c r="A499" s="23" t="s">
        <v>28</v>
      </c>
    </row>
    <row r="500">
      <c r="A500" s="23" t="s">
        <v>152</v>
      </c>
    </row>
    <row r="501">
      <c r="A501" s="23" t="s">
        <v>45</v>
      </c>
    </row>
    <row r="502">
      <c r="A502" s="23" t="s">
        <v>85</v>
      </c>
    </row>
    <row r="503">
      <c r="A503" s="23" t="s">
        <v>69</v>
      </c>
    </row>
    <row r="504">
      <c r="A504" s="23" t="s">
        <v>135</v>
      </c>
    </row>
    <row r="505">
      <c r="A505" s="23" t="s">
        <v>139</v>
      </c>
    </row>
    <row r="506">
      <c r="A506" s="23" t="s">
        <v>17</v>
      </c>
    </row>
    <row r="507">
      <c r="A507" s="23" t="s">
        <v>163</v>
      </c>
    </row>
    <row r="508">
      <c r="A508" s="23" t="s">
        <v>152</v>
      </c>
    </row>
    <row r="509">
      <c r="A509" s="23" t="s">
        <v>85</v>
      </c>
    </row>
    <row r="510">
      <c r="A510" s="23" t="s">
        <v>69</v>
      </c>
    </row>
    <row r="511">
      <c r="A511" s="23" t="s">
        <v>132</v>
      </c>
    </row>
    <row r="512">
      <c r="A512" s="23" t="s">
        <v>160</v>
      </c>
    </row>
    <row r="513">
      <c r="A513" s="23" t="s">
        <v>139</v>
      </c>
    </row>
    <row r="514">
      <c r="A514" s="23" t="s">
        <v>17</v>
      </c>
    </row>
    <row r="515">
      <c r="A515" s="23" t="s">
        <v>49</v>
      </c>
    </row>
    <row r="516">
      <c r="A516" s="23" t="s">
        <v>163</v>
      </c>
    </row>
    <row r="517">
      <c r="A517" s="23" t="s">
        <v>24</v>
      </c>
    </row>
    <row r="518">
      <c r="A518" s="23" t="s">
        <v>152</v>
      </c>
    </row>
    <row r="519">
      <c r="A519" s="23" t="s">
        <v>45</v>
      </c>
    </row>
    <row r="520">
      <c r="A520" s="23" t="s">
        <v>85</v>
      </c>
    </row>
    <row r="521">
      <c r="A521" s="23" t="s">
        <v>69</v>
      </c>
    </row>
    <row r="522">
      <c r="A522" s="23" t="s">
        <v>132</v>
      </c>
    </row>
    <row r="523">
      <c r="A523" s="23" t="s">
        <v>160</v>
      </c>
    </row>
    <row r="524">
      <c r="A524" s="23" t="s">
        <v>147</v>
      </c>
    </row>
    <row r="525">
      <c r="A525" s="23" t="s">
        <v>28</v>
      </c>
    </row>
    <row r="526">
      <c r="A526" s="23" t="s">
        <v>49</v>
      </c>
    </row>
    <row r="527">
      <c r="A527" s="23" t="s">
        <v>163</v>
      </c>
    </row>
    <row r="528">
      <c r="A528" s="23" t="s">
        <v>24</v>
      </c>
    </row>
    <row r="529">
      <c r="A529" s="23" t="s">
        <v>152</v>
      </c>
    </row>
    <row r="530">
      <c r="A530" s="23" t="s">
        <v>154</v>
      </c>
    </row>
    <row r="531">
      <c r="A531" s="23" t="s">
        <v>85</v>
      </c>
    </row>
    <row r="532">
      <c r="A532" s="23" t="s">
        <v>69</v>
      </c>
    </row>
    <row r="533">
      <c r="A533" s="23" t="s">
        <v>132</v>
      </c>
    </row>
    <row r="534">
      <c r="A534" s="23" t="s">
        <v>12</v>
      </c>
    </row>
    <row r="535">
      <c r="A535" s="23" t="s">
        <v>147</v>
      </c>
    </row>
    <row r="536">
      <c r="A536" s="23" t="s">
        <v>172</v>
      </c>
    </row>
    <row r="537">
      <c r="A537" s="23" t="s">
        <v>28</v>
      </c>
    </row>
    <row r="538">
      <c r="A538" s="23" t="s">
        <v>15</v>
      </c>
    </row>
    <row r="539">
      <c r="A539" s="23" t="s">
        <v>163</v>
      </c>
    </row>
    <row r="540">
      <c r="A540" s="23" t="s">
        <v>24</v>
      </c>
    </row>
    <row r="541">
      <c r="A541" s="23" t="s">
        <v>154</v>
      </c>
    </row>
    <row r="542">
      <c r="A542" s="23" t="s">
        <v>85</v>
      </c>
    </row>
    <row r="543">
      <c r="A543" s="23" t="s">
        <v>69</v>
      </c>
    </row>
    <row r="544">
      <c r="A544" s="23" t="s">
        <v>160</v>
      </c>
    </row>
    <row r="545">
      <c r="A545" s="23" t="s">
        <v>12</v>
      </c>
    </row>
    <row r="546">
      <c r="A546" s="23" t="s">
        <v>139</v>
      </c>
    </row>
    <row r="547">
      <c r="A547" s="23" t="s">
        <v>147</v>
      </c>
    </row>
    <row r="548">
      <c r="A548" s="23" t="s">
        <v>172</v>
      </c>
    </row>
    <row r="549">
      <c r="A549" s="23" t="s">
        <v>15</v>
      </c>
    </row>
    <row r="550">
      <c r="A550" s="23" t="s">
        <v>163</v>
      </c>
    </row>
    <row r="551">
      <c r="A551" s="23" t="s">
        <v>24</v>
      </c>
    </row>
    <row r="552">
      <c r="A552" s="23" t="s">
        <v>85</v>
      </c>
    </row>
    <row r="553">
      <c r="A553" s="23" t="s">
        <v>69</v>
      </c>
    </row>
    <row r="554">
      <c r="A554" s="23" t="s">
        <v>160</v>
      </c>
    </row>
    <row r="555">
      <c r="A555" s="23" t="s">
        <v>12</v>
      </c>
    </row>
    <row r="556">
      <c r="A556" s="23" t="s">
        <v>139</v>
      </c>
    </row>
    <row r="557">
      <c r="A557" s="23" t="s">
        <v>147</v>
      </c>
    </row>
    <row r="558">
      <c r="A558" s="23" t="s">
        <v>172</v>
      </c>
    </row>
    <row r="559">
      <c r="A559" s="23" t="s">
        <v>163</v>
      </c>
    </row>
    <row r="560">
      <c r="A560" s="23" t="s">
        <v>152</v>
      </c>
    </row>
    <row r="561">
      <c r="A561" s="23" t="s">
        <v>154</v>
      </c>
    </row>
    <row r="562">
      <c r="A562" s="23" t="s">
        <v>85</v>
      </c>
    </row>
    <row r="563">
      <c r="A563" s="23" t="s">
        <v>69</v>
      </c>
    </row>
    <row r="564">
      <c r="A564" s="23" t="s">
        <v>81</v>
      </c>
    </row>
    <row r="565">
      <c r="A565" s="23" t="s">
        <v>57</v>
      </c>
    </row>
    <row r="566">
      <c r="A566" s="23" t="s">
        <v>109</v>
      </c>
    </row>
    <row r="567">
      <c r="A567" s="23" t="s">
        <v>12</v>
      </c>
    </row>
    <row r="568">
      <c r="A568" s="23" t="s">
        <v>147</v>
      </c>
    </row>
    <row r="569">
      <c r="A569" s="23" t="s">
        <v>172</v>
      </c>
    </row>
    <row r="570">
      <c r="A570" s="23" t="s">
        <v>28</v>
      </c>
    </row>
    <row r="571">
      <c r="A571" s="23" t="s">
        <v>15</v>
      </c>
    </row>
    <row r="572">
      <c r="A572" s="23" t="s">
        <v>49</v>
      </c>
    </row>
    <row r="573">
      <c r="A573" s="23" t="s">
        <v>163</v>
      </c>
    </row>
    <row r="574">
      <c r="A574" s="23" t="s">
        <v>24</v>
      </c>
    </row>
    <row r="575">
      <c r="A575" s="23" t="s">
        <v>152</v>
      </c>
    </row>
    <row r="576">
      <c r="A576" s="23" t="s">
        <v>154</v>
      </c>
    </row>
    <row r="577">
      <c r="A577" s="23" t="s">
        <v>85</v>
      </c>
    </row>
    <row r="578">
      <c r="A578" s="23" t="s">
        <v>81</v>
      </c>
    </row>
    <row r="579">
      <c r="A579" s="23" t="s">
        <v>57</v>
      </c>
    </row>
    <row r="580">
      <c r="A580" s="23" t="s">
        <v>109</v>
      </c>
    </row>
    <row r="581">
      <c r="A581" s="23" t="s">
        <v>160</v>
      </c>
    </row>
    <row r="582">
      <c r="A582" s="23" t="s">
        <v>12</v>
      </c>
    </row>
    <row r="583">
      <c r="A583" s="23" t="s">
        <v>139</v>
      </c>
    </row>
    <row r="584">
      <c r="A584" s="23" t="s">
        <v>147</v>
      </c>
    </row>
    <row r="585">
      <c r="A585" s="23" t="s">
        <v>64</v>
      </c>
    </row>
    <row r="586">
      <c r="A586" s="23" t="s">
        <v>172</v>
      </c>
    </row>
    <row r="587">
      <c r="A587" s="23" t="s">
        <v>28</v>
      </c>
    </row>
    <row r="588">
      <c r="A588" s="23" t="s">
        <v>49</v>
      </c>
    </row>
    <row r="589">
      <c r="A589" s="23" t="s">
        <v>45</v>
      </c>
    </row>
    <row r="590">
      <c r="A590" s="23" t="s">
        <v>154</v>
      </c>
    </row>
    <row r="591">
      <c r="A591" s="23" t="s">
        <v>32</v>
      </c>
    </row>
    <row r="592">
      <c r="A592" s="23" t="s">
        <v>81</v>
      </c>
    </row>
    <row r="593">
      <c r="A593" s="23" t="s">
        <v>132</v>
      </c>
    </row>
    <row r="594">
      <c r="A594" s="23" t="s">
        <v>160</v>
      </c>
    </row>
    <row r="595">
      <c r="A595" s="23" t="s">
        <v>12</v>
      </c>
    </row>
    <row r="596">
      <c r="A596" s="23" t="s">
        <v>139</v>
      </c>
    </row>
    <row r="597">
      <c r="A597" s="23" t="s">
        <v>64</v>
      </c>
    </row>
    <row r="598">
      <c r="A598" s="23" t="s">
        <v>28</v>
      </c>
    </row>
    <row r="599">
      <c r="A599" s="23" t="s">
        <v>137</v>
      </c>
    </row>
    <row r="600">
      <c r="A600" s="23" t="s">
        <v>49</v>
      </c>
    </row>
    <row r="601">
      <c r="A601" s="23" t="s">
        <v>45</v>
      </c>
    </row>
    <row r="602">
      <c r="A602" s="23" t="s">
        <v>154</v>
      </c>
    </row>
    <row r="603">
      <c r="A603" s="23" t="s">
        <v>32</v>
      </c>
    </row>
    <row r="604">
      <c r="A604" s="23" t="s">
        <v>30</v>
      </c>
    </row>
    <row r="605">
      <c r="A605" s="23" t="s">
        <v>85</v>
      </c>
    </row>
    <row r="606">
      <c r="A606" s="23" t="s">
        <v>81</v>
      </c>
    </row>
    <row r="607">
      <c r="A607" s="23" t="s">
        <v>132</v>
      </c>
    </row>
    <row r="608">
      <c r="A608" s="23" t="s">
        <v>99</v>
      </c>
    </row>
    <row r="609">
      <c r="A609" s="23" t="s">
        <v>109</v>
      </c>
    </row>
    <row r="610">
      <c r="A610" s="23" t="s">
        <v>160</v>
      </c>
    </row>
    <row r="611">
      <c r="A611" s="23" t="s">
        <v>12</v>
      </c>
    </row>
    <row r="612">
      <c r="A612" s="23" t="s">
        <v>139</v>
      </c>
    </row>
    <row r="613">
      <c r="A613" s="23" t="s">
        <v>64</v>
      </c>
    </row>
    <row r="614">
      <c r="A614" s="23" t="s">
        <v>137</v>
      </c>
    </row>
    <row r="615">
      <c r="A615" s="23" t="s">
        <v>49</v>
      </c>
    </row>
    <row r="616">
      <c r="A616" s="23" t="s">
        <v>45</v>
      </c>
    </row>
    <row r="617">
      <c r="A617" s="23" t="s">
        <v>81</v>
      </c>
    </row>
    <row r="618">
      <c r="A618" s="23" t="s">
        <v>132</v>
      </c>
    </row>
    <row r="619">
      <c r="A619" s="23" t="s">
        <v>160</v>
      </c>
    </row>
    <row r="620">
      <c r="A620" s="23" t="s">
        <v>139</v>
      </c>
    </row>
    <row r="621">
      <c r="A621" s="23" t="s">
        <v>64</v>
      </c>
    </row>
    <row r="622">
      <c r="A622" s="23" t="s">
        <v>41</v>
      </c>
    </row>
    <row r="623">
      <c r="A623" s="23" t="s">
        <v>47</v>
      </c>
    </row>
    <row r="624">
      <c r="A624" s="23" t="s">
        <v>81</v>
      </c>
    </row>
    <row r="625">
      <c r="A625" s="23" t="s">
        <v>132</v>
      </c>
    </row>
    <row r="626">
      <c r="A626" s="23" t="s">
        <v>99</v>
      </c>
    </row>
    <row r="627">
      <c r="A627" s="23" t="s">
        <v>135</v>
      </c>
    </row>
    <row r="628">
      <c r="A628" s="23" t="s">
        <v>57</v>
      </c>
    </row>
    <row r="629">
      <c r="A629" s="23" t="s">
        <v>139</v>
      </c>
    </row>
    <row r="630">
      <c r="A630" s="23" t="s">
        <v>172</v>
      </c>
    </row>
    <row r="631">
      <c r="A631" s="23" t="s">
        <v>163</v>
      </c>
    </row>
    <row r="632">
      <c r="A632" s="23" t="s">
        <v>152</v>
      </c>
    </row>
    <row r="633">
      <c r="A633" s="23" t="s">
        <v>45</v>
      </c>
    </row>
    <row r="634">
      <c r="A634" s="23" t="s">
        <v>41</v>
      </c>
    </row>
    <row r="635">
      <c r="A635" s="23" t="s">
        <v>69</v>
      </c>
    </row>
    <row r="636">
      <c r="A636" s="23" t="s">
        <v>81</v>
      </c>
    </row>
    <row r="637">
      <c r="A637" s="23" t="s">
        <v>160</v>
      </c>
    </row>
    <row r="638">
      <c r="A638" s="23" t="s">
        <v>139</v>
      </c>
    </row>
    <row r="639">
      <c r="A639" s="23" t="s">
        <v>49</v>
      </c>
    </row>
    <row r="640">
      <c r="A640" s="23" t="s">
        <v>152</v>
      </c>
    </row>
    <row r="641">
      <c r="A641" s="23" t="s">
        <v>45</v>
      </c>
    </row>
    <row r="642">
      <c r="A642" s="23" t="s">
        <v>85</v>
      </c>
    </row>
    <row r="643">
      <c r="A643" s="23" t="s">
        <v>69</v>
      </c>
    </row>
    <row r="644">
      <c r="A644" s="23" t="s">
        <v>81</v>
      </c>
    </row>
    <row r="645">
      <c r="A645" s="23" t="s">
        <v>34</v>
      </c>
    </row>
    <row r="646">
      <c r="A646" s="23" t="s">
        <v>109</v>
      </c>
    </row>
    <row r="647">
      <c r="A647" s="23" t="s">
        <v>139</v>
      </c>
    </row>
    <row r="648">
      <c r="A648" s="23" t="s">
        <v>26</v>
      </c>
    </row>
    <row r="649">
      <c r="A649" s="23" t="s">
        <v>28</v>
      </c>
    </row>
    <row r="650">
      <c r="A650" s="23" t="s">
        <v>156</v>
      </c>
    </row>
    <row r="651">
      <c r="A651" s="23" t="s">
        <v>152</v>
      </c>
    </row>
    <row r="652">
      <c r="A652" s="23" t="s">
        <v>45</v>
      </c>
    </row>
    <row r="653">
      <c r="A653" s="23" t="s">
        <v>85</v>
      </c>
    </row>
    <row r="654">
      <c r="A654" s="23" t="s">
        <v>69</v>
      </c>
    </row>
    <row r="655">
      <c r="A655" s="23" t="s">
        <v>81</v>
      </c>
    </row>
    <row r="656">
      <c r="A656" s="23" t="s">
        <v>132</v>
      </c>
    </row>
    <row r="657">
      <c r="A657" s="23" t="s">
        <v>109</v>
      </c>
    </row>
    <row r="658">
      <c r="A658" s="23" t="s">
        <v>139</v>
      </c>
    </row>
    <row r="659">
      <c r="A659" s="23" t="s">
        <v>26</v>
      </c>
    </row>
    <row r="660">
      <c r="A660" s="23" t="s">
        <v>64</v>
      </c>
    </row>
    <row r="661">
      <c r="A661" s="23" t="s">
        <v>28</v>
      </c>
    </row>
    <row r="662">
      <c r="A662" s="23" t="s">
        <v>156</v>
      </c>
    </row>
    <row r="663">
      <c r="A663" s="23" t="s">
        <v>152</v>
      </c>
    </row>
    <row r="664">
      <c r="A664" s="23" t="s">
        <v>85</v>
      </c>
    </row>
    <row r="665">
      <c r="A665" s="23" t="s">
        <v>132</v>
      </c>
    </row>
    <row r="666">
      <c r="A666" s="23" t="s">
        <v>34</v>
      </c>
    </row>
    <row r="667">
      <c r="A667" s="23" t="s">
        <v>139</v>
      </c>
    </row>
    <row r="668">
      <c r="A668" s="23" t="s">
        <v>163</v>
      </c>
    </row>
    <row r="669">
      <c r="A669" s="23" t="s">
        <v>152</v>
      </c>
    </row>
    <row r="670">
      <c r="A670" s="23" t="s">
        <v>85</v>
      </c>
    </row>
    <row r="671">
      <c r="A671" s="23" t="s">
        <v>69</v>
      </c>
    </row>
    <row r="672">
      <c r="A672" s="23" t="s">
        <v>81</v>
      </c>
    </row>
    <row r="673">
      <c r="A673" s="23" t="s">
        <v>132</v>
      </c>
    </row>
    <row r="674">
      <c r="A674" s="23" t="s">
        <v>34</v>
      </c>
    </row>
    <row r="675">
      <c r="A675" s="23" t="s">
        <v>109</v>
      </c>
    </row>
    <row r="676">
      <c r="A676" s="23" t="s">
        <v>139</v>
      </c>
    </row>
    <row r="677">
      <c r="A677" s="23" t="s">
        <v>147</v>
      </c>
    </row>
    <row r="678">
      <c r="A678" s="23" t="s">
        <v>49</v>
      </c>
    </row>
    <row r="679">
      <c r="A679" s="23" t="s">
        <v>163</v>
      </c>
    </row>
    <row r="680">
      <c r="A680" s="23" t="s">
        <v>152</v>
      </c>
    </row>
    <row r="681">
      <c r="A681" s="23" t="s">
        <v>154</v>
      </c>
    </row>
    <row r="682">
      <c r="A682" s="23" t="s">
        <v>30</v>
      </c>
    </row>
    <row r="683">
      <c r="A683" s="23" t="s">
        <v>85</v>
      </c>
    </row>
    <row r="684">
      <c r="A684" s="23" t="s">
        <v>81</v>
      </c>
    </row>
    <row r="685">
      <c r="A685" s="23" t="s">
        <v>132</v>
      </c>
    </row>
    <row r="686">
      <c r="A686" s="23" t="s">
        <v>34</v>
      </c>
    </row>
    <row r="687">
      <c r="A687" s="23" t="s">
        <v>109</v>
      </c>
    </row>
    <row r="688">
      <c r="A688" s="23" t="s">
        <v>12</v>
      </c>
    </row>
    <row r="689">
      <c r="A689" s="23" t="s">
        <v>147</v>
      </c>
    </row>
    <row r="690">
      <c r="A690" s="23" t="s">
        <v>172</v>
      </c>
    </row>
    <row r="691">
      <c r="A691" s="23" t="s">
        <v>28</v>
      </c>
    </row>
    <row r="692">
      <c r="A692" s="23" t="s">
        <v>163</v>
      </c>
    </row>
    <row r="693">
      <c r="A693" s="23" t="s">
        <v>32</v>
      </c>
    </row>
    <row r="694">
      <c r="A694" s="23" t="s">
        <v>81</v>
      </c>
    </row>
    <row r="695">
      <c r="A695" s="23" t="s">
        <v>132</v>
      </c>
    </row>
    <row r="696">
      <c r="A696" s="23" t="s">
        <v>34</v>
      </c>
    </row>
    <row r="697">
      <c r="A697" s="23" t="s">
        <v>12</v>
      </c>
    </row>
    <row r="698">
      <c r="A698" s="23" t="s">
        <v>28</v>
      </c>
    </row>
    <row r="699">
      <c r="A699" s="23" t="s">
        <v>163</v>
      </c>
    </row>
    <row r="700">
      <c r="A700" s="23" t="s">
        <v>152</v>
      </c>
    </row>
    <row r="701">
      <c r="A701" s="23" t="s">
        <v>12</v>
      </c>
    </row>
    <row r="702">
      <c r="A702" s="23" t="s">
        <v>139</v>
      </c>
    </row>
    <row r="703">
      <c r="A703" s="23" t="s">
        <v>15</v>
      </c>
    </row>
    <row r="704">
      <c r="A704" s="23" t="s">
        <v>49</v>
      </c>
    </row>
    <row r="705">
      <c r="A705" s="23" t="s">
        <v>163</v>
      </c>
    </row>
    <row r="706">
      <c r="A706" s="23" t="s">
        <v>154</v>
      </c>
    </row>
    <row r="707">
      <c r="A707" s="23" t="s">
        <v>41</v>
      </c>
    </row>
    <row r="708">
      <c r="A708" s="23" t="s">
        <v>32</v>
      </c>
    </row>
    <row r="709">
      <c r="A709" s="23" t="s">
        <v>77</v>
      </c>
    </row>
    <row r="710">
      <c r="A710" s="23" t="s">
        <v>69</v>
      </c>
    </row>
    <row r="711">
      <c r="A711" s="23" t="s">
        <v>81</v>
      </c>
    </row>
    <row r="712">
      <c r="A712" s="23" t="s">
        <v>132</v>
      </c>
    </row>
    <row r="713">
      <c r="A713" s="23" t="s">
        <v>34</v>
      </c>
    </row>
    <row r="714">
      <c r="A714" s="23" t="s">
        <v>57</v>
      </c>
    </row>
    <row r="715">
      <c r="A715" s="23" t="s">
        <v>160</v>
      </c>
    </row>
    <row r="716">
      <c r="A716" s="23" t="s">
        <v>119</v>
      </c>
    </row>
    <row r="717">
      <c r="A717" s="23" t="s">
        <v>12</v>
      </c>
    </row>
    <row r="718">
      <c r="A718" s="23" t="s">
        <v>139</v>
      </c>
    </row>
    <row r="719">
      <c r="A719" s="23" t="s">
        <v>147</v>
      </c>
    </row>
    <row r="720">
      <c r="A720" s="23" t="s">
        <v>15</v>
      </c>
    </row>
    <row r="721">
      <c r="A721" s="23" t="s">
        <v>49</v>
      </c>
    </row>
    <row r="722">
      <c r="A722" s="23" t="s">
        <v>132</v>
      </c>
    </row>
    <row r="723">
      <c r="A723" s="23" t="s">
        <v>139</v>
      </c>
    </row>
    <row r="724">
      <c r="A724" s="23" t="s">
        <v>64</v>
      </c>
    </row>
    <row r="725">
      <c r="A725" s="23" t="s">
        <v>163</v>
      </c>
    </row>
    <row r="726">
      <c r="A726" s="23" t="s">
        <v>152</v>
      </c>
    </row>
    <row r="727">
      <c r="A727" s="23" t="s">
        <v>45</v>
      </c>
    </row>
    <row r="728">
      <c r="A728" s="23" t="s">
        <v>154</v>
      </c>
    </row>
    <row r="729">
      <c r="A729" s="23" t="s">
        <v>41</v>
      </c>
    </row>
    <row r="730">
      <c r="A730" s="23" t="s">
        <v>32</v>
      </c>
    </row>
    <row r="731">
      <c r="A731" s="23" t="s">
        <v>85</v>
      </c>
    </row>
    <row r="732">
      <c r="A732" s="23" t="s">
        <v>34</v>
      </c>
    </row>
    <row r="733">
      <c r="A733" s="23" t="s">
        <v>57</v>
      </c>
    </row>
    <row r="734">
      <c r="A734" s="23" t="s">
        <v>160</v>
      </c>
    </row>
    <row r="735">
      <c r="A735" s="23" t="s">
        <v>12</v>
      </c>
    </row>
    <row r="736">
      <c r="A736" s="23" t="s">
        <v>129</v>
      </c>
    </row>
    <row r="737">
      <c r="A737" s="23" t="s">
        <v>139</v>
      </c>
    </row>
    <row r="738">
      <c r="A738" s="23" t="s">
        <v>64</v>
      </c>
    </row>
    <row r="739">
      <c r="A739" s="23" t="s">
        <v>172</v>
      </c>
    </row>
    <row r="740">
      <c r="A740" s="23" t="s">
        <v>15</v>
      </c>
    </row>
    <row r="741">
      <c r="A741" s="23" t="s">
        <v>49</v>
      </c>
    </row>
    <row r="742">
      <c r="A742" s="23" t="s">
        <v>163</v>
      </c>
    </row>
    <row r="743">
      <c r="A743" s="23" t="s">
        <v>24</v>
      </c>
    </row>
    <row r="744">
      <c r="A744" s="23" t="s">
        <v>45</v>
      </c>
    </row>
    <row r="745">
      <c r="A745" s="23" t="s">
        <v>154</v>
      </c>
    </row>
    <row r="746">
      <c r="A746" s="23" t="s">
        <v>88</v>
      </c>
    </row>
    <row r="747">
      <c r="A747" s="23" t="s">
        <v>41</v>
      </c>
    </row>
    <row r="748">
      <c r="A748" s="23" t="s">
        <v>32</v>
      </c>
    </row>
    <row r="749">
      <c r="A749" s="23" t="s">
        <v>30</v>
      </c>
    </row>
    <row r="750">
      <c r="A750" s="23" t="s">
        <v>85</v>
      </c>
    </row>
    <row r="751">
      <c r="A751" s="23" t="s">
        <v>81</v>
      </c>
    </row>
    <row r="752">
      <c r="A752" s="23" t="s">
        <v>34</v>
      </c>
    </row>
    <row r="753">
      <c r="A753" s="23" t="s">
        <v>135</v>
      </c>
    </row>
    <row r="754">
      <c r="A754" s="23" t="s">
        <v>109</v>
      </c>
    </row>
    <row r="755">
      <c r="A755" s="23" t="s">
        <v>160</v>
      </c>
    </row>
    <row r="756">
      <c r="A756" s="23" t="s">
        <v>12</v>
      </c>
    </row>
    <row r="757">
      <c r="A757" s="23" t="s">
        <v>129</v>
      </c>
    </row>
    <row r="758">
      <c r="A758" s="23" t="s">
        <v>139</v>
      </c>
    </row>
    <row r="759">
      <c r="A759" s="23" t="s">
        <v>147</v>
      </c>
    </row>
    <row r="760">
      <c r="A760" s="23" t="s">
        <v>64</v>
      </c>
    </row>
    <row r="761">
      <c r="A761" s="23" t="s">
        <v>172</v>
      </c>
    </row>
    <row r="762">
      <c r="A762" s="23" t="s">
        <v>15</v>
      </c>
    </row>
    <row r="763">
      <c r="A763" s="23" t="s">
        <v>24</v>
      </c>
    </row>
    <row r="764">
      <c r="A764" s="23" t="s">
        <v>45</v>
      </c>
    </row>
    <row r="765">
      <c r="A765" s="23" t="s">
        <v>154</v>
      </c>
    </row>
    <row r="766">
      <c r="A766" s="23" t="s">
        <v>41</v>
      </c>
    </row>
    <row r="767">
      <c r="A767" s="23" t="s">
        <v>32</v>
      </c>
    </row>
    <row r="768">
      <c r="A768" s="23" t="s">
        <v>81</v>
      </c>
    </row>
    <row r="769">
      <c r="A769" s="23" t="s">
        <v>135</v>
      </c>
    </row>
    <row r="770">
      <c r="A770" s="23" t="s">
        <v>160</v>
      </c>
    </row>
    <row r="771">
      <c r="A771" s="23" t="s">
        <v>119</v>
      </c>
    </row>
    <row r="772">
      <c r="A772" s="23" t="s">
        <v>129</v>
      </c>
    </row>
    <row r="773">
      <c r="A773" s="23" t="s">
        <v>139</v>
      </c>
    </row>
    <row r="774">
      <c r="A774" s="23" t="s">
        <v>64</v>
      </c>
    </row>
    <row r="775">
      <c r="A775" s="23" t="s">
        <v>172</v>
      </c>
    </row>
    <row r="776">
      <c r="A776" s="23" t="s">
        <v>15</v>
      </c>
    </row>
    <row r="777">
      <c r="A777" s="23" t="s">
        <v>24</v>
      </c>
    </row>
    <row r="778">
      <c r="A778" s="23" t="s">
        <v>154</v>
      </c>
    </row>
    <row r="779">
      <c r="A779" s="23" t="s">
        <v>41</v>
      </c>
    </row>
    <row r="780">
      <c r="A780" s="23" t="s">
        <v>32</v>
      </c>
    </row>
    <row r="781">
      <c r="A781" s="23" t="s">
        <v>47</v>
      </c>
    </row>
    <row r="782">
      <c r="A782" s="23" t="s">
        <v>81</v>
      </c>
    </row>
    <row r="783">
      <c r="A783" s="23" t="s">
        <v>121</v>
      </c>
    </row>
    <row r="784">
      <c r="A784" s="23" t="s">
        <v>135</v>
      </c>
    </row>
    <row r="785">
      <c r="A785" s="23" t="s">
        <v>57</v>
      </c>
    </row>
    <row r="786">
      <c r="A786" s="23" t="s">
        <v>109</v>
      </c>
    </row>
    <row r="787">
      <c r="A787" s="23" t="s">
        <v>139</v>
      </c>
    </row>
    <row r="788">
      <c r="A788" s="23" t="s">
        <v>147</v>
      </c>
    </row>
    <row r="789">
      <c r="A789" s="23" t="s">
        <v>26</v>
      </c>
    </row>
    <row r="790">
      <c r="A790" s="23" t="s">
        <v>172</v>
      </c>
    </row>
    <row r="791">
      <c r="A791" s="23" t="s">
        <v>47</v>
      </c>
    </row>
    <row r="792">
      <c r="A792" s="23" t="s">
        <v>81</v>
      </c>
    </row>
    <row r="793">
      <c r="A793" s="23" t="s">
        <v>135</v>
      </c>
    </row>
    <row r="794">
      <c r="A794" s="23" t="s">
        <v>57</v>
      </c>
    </row>
    <row r="795">
      <c r="A795" s="23" t="s">
        <v>139</v>
      </c>
    </row>
    <row r="796">
      <c r="A796" s="23" t="s">
        <v>160</v>
      </c>
    </row>
    <row r="797">
      <c r="A797" s="23" t="s">
        <v>163</v>
      </c>
    </row>
    <row r="798">
      <c r="A798" s="23" t="s">
        <v>41</v>
      </c>
    </row>
    <row r="799">
      <c r="A799" s="23" t="s">
        <v>69</v>
      </c>
    </row>
    <row r="800">
      <c r="A800" s="23" t="s">
        <v>135</v>
      </c>
    </row>
    <row r="801">
      <c r="A801" s="23" t="s">
        <v>160</v>
      </c>
    </row>
    <row r="802">
      <c r="A802" s="23" t="s">
        <v>139</v>
      </c>
    </row>
    <row r="803">
      <c r="A803" s="23" t="s">
        <v>28</v>
      </c>
    </row>
    <row r="804">
      <c r="A804" s="23" t="s">
        <v>163</v>
      </c>
    </row>
    <row r="805">
      <c r="A805" s="23" t="s">
        <v>152</v>
      </c>
    </row>
    <row r="806">
      <c r="A806" s="23" t="s">
        <v>45</v>
      </c>
    </row>
    <row r="807">
      <c r="A807" s="23" t="s">
        <v>69</v>
      </c>
    </row>
    <row r="808">
      <c r="A808" s="23" t="s">
        <v>81</v>
      </c>
    </row>
    <row r="809">
      <c r="A809" s="23" t="s">
        <v>28</v>
      </c>
    </row>
    <row r="810">
      <c r="A810" s="23" t="s">
        <v>163</v>
      </c>
    </row>
    <row r="811">
      <c r="A811" s="23" t="s">
        <v>152</v>
      </c>
    </row>
    <row r="812">
      <c r="A812" s="23" t="s">
        <v>45</v>
      </c>
    </row>
    <row r="813">
      <c r="A813" s="23" t="s">
        <v>41</v>
      </c>
    </row>
    <row r="814">
      <c r="A814" s="23" t="s">
        <v>32</v>
      </c>
    </row>
    <row r="815">
      <c r="A815" s="23" t="s">
        <v>69</v>
      </c>
    </row>
    <row r="816">
      <c r="A816" s="23" t="s">
        <v>81</v>
      </c>
    </row>
    <row r="817">
      <c r="A817" s="23" t="s">
        <v>132</v>
      </c>
    </row>
    <row r="818">
      <c r="A818" s="23" t="s">
        <v>160</v>
      </c>
    </row>
    <row r="819">
      <c r="A819" s="23" t="s">
        <v>28</v>
      </c>
    </row>
    <row r="820">
      <c r="A820" s="23" t="s">
        <v>152</v>
      </c>
    </row>
    <row r="821">
      <c r="A821" s="23" t="s">
        <v>45</v>
      </c>
    </row>
    <row r="822">
      <c r="A822" s="23" t="s">
        <v>85</v>
      </c>
    </row>
    <row r="823">
      <c r="A823" s="23" t="s">
        <v>69</v>
      </c>
    </row>
    <row r="824">
      <c r="A824" s="23" t="s">
        <v>81</v>
      </c>
    </row>
    <row r="825">
      <c r="A825" s="23" t="s">
        <v>132</v>
      </c>
    </row>
    <row r="826">
      <c r="A826" s="23" t="s">
        <v>160</v>
      </c>
    </row>
    <row r="827">
      <c r="A827" s="23" t="s">
        <v>28</v>
      </c>
    </row>
    <row r="828">
      <c r="A828" s="23" t="s">
        <v>15</v>
      </c>
    </row>
    <row r="829">
      <c r="A829" s="23" t="s">
        <v>163</v>
      </c>
    </row>
    <row r="830">
      <c r="A830" s="23" t="s">
        <v>152</v>
      </c>
    </row>
    <row r="831">
      <c r="A831" s="23" t="s">
        <v>32</v>
      </c>
    </row>
    <row r="832">
      <c r="A832" s="23" t="s">
        <v>77</v>
      </c>
    </row>
    <row r="833">
      <c r="A833" s="23" t="s">
        <v>69</v>
      </c>
    </row>
    <row r="834">
      <c r="A834" s="23" t="s">
        <v>81</v>
      </c>
    </row>
    <row r="835">
      <c r="A835" s="23" t="s">
        <v>132</v>
      </c>
    </row>
    <row r="836">
      <c r="A836" s="23" t="s">
        <v>34</v>
      </c>
    </row>
    <row r="837">
      <c r="A837" s="23" t="s">
        <v>160</v>
      </c>
    </row>
    <row r="838">
      <c r="A838" s="23" t="s">
        <v>147</v>
      </c>
    </row>
    <row r="839">
      <c r="A839" s="23" t="s">
        <v>172</v>
      </c>
    </row>
    <row r="840">
      <c r="A840" s="23" t="s">
        <v>28</v>
      </c>
    </row>
    <row r="841">
      <c r="A841" s="23" t="s">
        <v>17</v>
      </c>
    </row>
    <row r="842">
      <c r="A842" s="23" t="s">
        <v>163</v>
      </c>
    </row>
    <row r="843">
      <c r="A843" s="23" t="s">
        <v>152</v>
      </c>
    </row>
    <row r="844">
      <c r="A844" s="23" t="s">
        <v>32</v>
      </c>
    </row>
    <row r="845">
      <c r="A845" s="23" t="s">
        <v>69</v>
      </c>
    </row>
    <row r="846">
      <c r="A846" s="23" t="s">
        <v>81</v>
      </c>
    </row>
    <row r="847">
      <c r="A847" s="23" t="s">
        <v>34</v>
      </c>
    </row>
    <row r="848">
      <c r="A848" s="23" t="s">
        <v>160</v>
      </c>
    </row>
    <row r="849">
      <c r="A849" s="23" t="s">
        <v>119</v>
      </c>
    </row>
    <row r="850">
      <c r="A850" s="23" t="s">
        <v>12</v>
      </c>
    </row>
    <row r="851">
      <c r="A851" s="23" t="s">
        <v>147</v>
      </c>
    </row>
    <row r="852">
      <c r="A852" s="23" t="s">
        <v>172</v>
      </c>
    </row>
    <row r="853">
      <c r="A853" s="23" t="s">
        <v>28</v>
      </c>
    </row>
    <row r="854">
      <c r="A854" s="23" t="s">
        <v>15</v>
      </c>
    </row>
    <row r="855">
      <c r="A855" s="23" t="s">
        <v>163</v>
      </c>
    </row>
    <row r="856">
      <c r="A856" s="23" t="s">
        <v>24</v>
      </c>
    </row>
    <row r="857">
      <c r="A857" s="23" t="s">
        <v>152</v>
      </c>
    </row>
    <row r="858">
      <c r="A858" s="23" t="s">
        <v>45</v>
      </c>
    </row>
    <row r="859">
      <c r="A859" s="23" t="s">
        <v>92</v>
      </c>
    </row>
    <row r="860">
      <c r="A860" s="23" t="s">
        <v>32</v>
      </c>
    </row>
    <row r="861">
      <c r="A861" s="23" t="s">
        <v>85</v>
      </c>
    </row>
    <row r="862">
      <c r="A862" s="23" t="s">
        <v>77</v>
      </c>
    </row>
    <row r="863">
      <c r="A863" s="23" t="s">
        <v>81</v>
      </c>
    </row>
    <row r="864">
      <c r="A864" s="23" t="s">
        <v>34</v>
      </c>
    </row>
    <row r="865">
      <c r="A865" s="23" t="s">
        <v>160</v>
      </c>
    </row>
    <row r="866">
      <c r="A866" s="23" t="s">
        <v>119</v>
      </c>
    </row>
    <row r="867">
      <c r="A867" s="23" t="s">
        <v>12</v>
      </c>
    </row>
    <row r="868">
      <c r="A868" s="23" t="s">
        <v>147</v>
      </c>
    </row>
    <row r="869">
      <c r="A869" s="23" t="s">
        <v>172</v>
      </c>
    </row>
    <row r="870">
      <c r="A870" s="23" t="s">
        <v>28</v>
      </c>
    </row>
    <row r="871">
      <c r="A871" s="23" t="s">
        <v>15</v>
      </c>
    </row>
    <row r="872">
      <c r="A872" s="23" t="s">
        <v>163</v>
      </c>
    </row>
    <row r="873">
      <c r="A873" s="23" t="s">
        <v>45</v>
      </c>
    </row>
    <row r="874">
      <c r="A874" s="23" t="s">
        <v>32</v>
      </c>
    </row>
    <row r="875">
      <c r="A875" s="23" t="s">
        <v>85</v>
      </c>
    </row>
    <row r="876">
      <c r="A876" s="23" t="s">
        <v>77</v>
      </c>
    </row>
    <row r="877">
      <c r="A877" s="23" t="s">
        <v>81</v>
      </c>
    </row>
    <row r="878">
      <c r="A878" s="23" t="s">
        <v>132</v>
      </c>
    </row>
    <row r="879">
      <c r="A879" s="23" t="s">
        <v>160</v>
      </c>
    </row>
    <row r="880">
      <c r="A880" s="23" t="s">
        <v>139</v>
      </c>
    </row>
    <row r="881">
      <c r="A881" s="23" t="s">
        <v>147</v>
      </c>
    </row>
    <row r="882">
      <c r="A882" s="23" t="s">
        <v>28</v>
      </c>
    </row>
    <row r="883">
      <c r="A883" s="23" t="s">
        <v>15</v>
      </c>
    </row>
    <row r="884">
      <c r="A884" s="23" t="s">
        <v>49</v>
      </c>
    </row>
    <row r="885">
      <c r="A885" s="23" t="s">
        <v>163</v>
      </c>
    </row>
    <row r="886">
      <c r="A886" s="23" t="s">
        <v>24</v>
      </c>
    </row>
    <row r="887">
      <c r="A887" s="23" t="s">
        <v>152</v>
      </c>
    </row>
    <row r="888">
      <c r="A888" s="23" t="s">
        <v>45</v>
      </c>
    </row>
    <row r="889">
      <c r="A889" s="23" t="s">
        <v>92</v>
      </c>
    </row>
    <row r="890">
      <c r="A890" s="23" t="s">
        <v>154</v>
      </c>
    </row>
    <row r="891">
      <c r="A891" s="23" t="s">
        <v>32</v>
      </c>
    </row>
    <row r="892">
      <c r="A892" s="23" t="s">
        <v>30</v>
      </c>
    </row>
    <row r="893">
      <c r="A893" s="23" t="s">
        <v>85</v>
      </c>
    </row>
    <row r="894">
      <c r="A894" s="23" t="s">
        <v>81</v>
      </c>
    </row>
    <row r="895">
      <c r="A895" s="23" t="s">
        <v>132</v>
      </c>
    </row>
    <row r="896">
      <c r="A896" s="23" t="s">
        <v>34</v>
      </c>
    </row>
    <row r="897">
      <c r="A897" s="23" t="s">
        <v>109</v>
      </c>
    </row>
    <row r="898">
      <c r="A898" s="23" t="s">
        <v>160</v>
      </c>
    </row>
    <row r="899">
      <c r="A899" s="23" t="s">
        <v>12</v>
      </c>
    </row>
    <row r="900">
      <c r="A900" s="23" t="s">
        <v>139</v>
      </c>
    </row>
    <row r="901">
      <c r="A901" s="23" t="s">
        <v>147</v>
      </c>
    </row>
    <row r="902">
      <c r="A902" s="23" t="s">
        <v>64</v>
      </c>
    </row>
    <row r="903">
      <c r="A903" s="23" t="s">
        <v>49</v>
      </c>
    </row>
    <row r="904">
      <c r="A904" s="23" t="s">
        <v>152</v>
      </c>
    </row>
    <row r="905">
      <c r="A905" s="23" t="s">
        <v>45</v>
      </c>
    </row>
    <row r="906">
      <c r="A906" s="23" t="s">
        <v>32</v>
      </c>
    </row>
    <row r="907">
      <c r="A907" s="23" t="s">
        <v>81</v>
      </c>
    </row>
    <row r="908">
      <c r="A908" s="23" t="s">
        <v>132</v>
      </c>
    </row>
    <row r="909">
      <c r="A909" s="23" t="s">
        <v>109</v>
      </c>
    </row>
    <row r="910">
      <c r="A910" s="23" t="s">
        <v>160</v>
      </c>
    </row>
    <row r="911">
      <c r="A911" s="23" t="s">
        <v>12</v>
      </c>
    </row>
    <row r="912">
      <c r="A912" s="23" t="s">
        <v>139</v>
      </c>
    </row>
    <row r="913">
      <c r="A913" s="23" t="s">
        <v>147</v>
      </c>
    </row>
    <row r="914">
      <c r="A914" s="23" t="s">
        <v>64</v>
      </c>
    </row>
    <row r="915">
      <c r="A915" s="23" t="s">
        <v>156</v>
      </c>
    </row>
    <row r="916">
      <c r="A916" s="23" t="s">
        <v>49</v>
      </c>
    </row>
    <row r="917">
      <c r="A917" s="23" t="s">
        <v>24</v>
      </c>
    </row>
    <row r="918">
      <c r="A918" s="23" t="s">
        <v>45</v>
      </c>
    </row>
    <row r="919">
      <c r="A919" s="23" t="s">
        <v>92</v>
      </c>
    </row>
    <row r="920">
      <c r="A920" s="23" t="s">
        <v>154</v>
      </c>
    </row>
    <row r="921">
      <c r="A921" s="23" t="s">
        <v>47</v>
      </c>
    </row>
    <row r="922">
      <c r="A922" s="23" t="s">
        <v>85</v>
      </c>
    </row>
    <row r="923">
      <c r="A923" s="23" t="s">
        <v>81</v>
      </c>
    </row>
    <row r="924">
      <c r="A924" s="23" t="s">
        <v>132</v>
      </c>
    </row>
    <row r="925">
      <c r="A925" s="23" t="s">
        <v>121</v>
      </c>
    </row>
    <row r="926">
      <c r="A926" s="23" t="s">
        <v>109</v>
      </c>
    </row>
    <row r="927">
      <c r="A927" s="23" t="s">
        <v>160</v>
      </c>
    </row>
    <row r="928">
      <c r="A928" s="23" t="s">
        <v>12</v>
      </c>
    </row>
    <row r="929">
      <c r="A929" s="23" t="s">
        <v>139</v>
      </c>
    </row>
    <row r="930">
      <c r="A930" s="23" t="s">
        <v>64</v>
      </c>
    </row>
    <row r="931">
      <c r="A931" s="23" t="s">
        <v>156</v>
      </c>
    </row>
    <row r="932">
      <c r="A932" s="23" t="s">
        <v>49</v>
      </c>
    </row>
    <row r="933">
      <c r="A933" s="23" t="s">
        <v>45</v>
      </c>
    </row>
    <row r="934">
      <c r="A934" s="23" t="s">
        <v>47</v>
      </c>
    </row>
    <row r="935">
      <c r="A935" s="23" t="s">
        <v>132</v>
      </c>
    </row>
    <row r="936">
      <c r="A936" s="23" t="s">
        <v>135</v>
      </c>
    </row>
    <row r="937">
      <c r="A937" s="23" t="s">
        <v>160</v>
      </c>
    </row>
    <row r="938">
      <c r="A938" s="23" t="s">
        <v>139</v>
      </c>
    </row>
    <row r="939">
      <c r="A939" s="23" t="s">
        <v>45</v>
      </c>
    </row>
    <row r="940">
      <c r="A940" s="23" t="s">
        <v>47</v>
      </c>
    </row>
    <row r="941">
      <c r="A941" s="23" t="s">
        <v>85</v>
      </c>
    </row>
    <row r="942">
      <c r="A942" s="23" t="s">
        <v>69</v>
      </c>
    </row>
    <row r="943">
      <c r="A943" s="23" t="s">
        <v>132</v>
      </c>
    </row>
    <row r="944">
      <c r="A944" s="23" t="s">
        <v>121</v>
      </c>
    </row>
    <row r="945">
      <c r="A945" s="23" t="s">
        <v>135</v>
      </c>
    </row>
    <row r="946">
      <c r="A946" s="23" t="s">
        <v>109</v>
      </c>
    </row>
    <row r="947">
      <c r="A947" s="23" t="s">
        <v>160</v>
      </c>
    </row>
    <row r="948">
      <c r="A948" s="23" t="s">
        <v>139</v>
      </c>
    </row>
    <row r="949">
      <c r="A949" s="23" t="s">
        <v>26</v>
      </c>
    </row>
    <row r="950">
      <c r="A950" s="23" t="s">
        <v>172</v>
      </c>
    </row>
    <row r="951">
      <c r="A951" s="23" t="s">
        <v>156</v>
      </c>
    </row>
    <row r="952">
      <c r="A952" s="23" t="s">
        <v>135</v>
      </c>
    </row>
    <row r="953">
      <c r="A953" s="23" t="s">
        <v>139</v>
      </c>
    </row>
    <row r="954">
      <c r="A954" s="23" t="s">
        <v>26</v>
      </c>
    </row>
    <row r="955">
      <c r="A955" s="23" t="s">
        <v>156</v>
      </c>
    </row>
    <row r="956">
      <c r="A956" s="23" t="s">
        <v>163</v>
      </c>
    </row>
    <row r="957">
      <c r="A957" s="23" t="s">
        <v>152</v>
      </c>
    </row>
    <row r="958">
      <c r="A958" s="23" t="s">
        <v>41</v>
      </c>
    </row>
    <row r="959">
      <c r="A959" s="23" t="s">
        <v>69</v>
      </c>
    </row>
    <row r="960">
      <c r="A960" s="23" t="s">
        <v>139</v>
      </c>
    </row>
    <row r="961">
      <c r="A961" s="23" t="s">
        <v>26</v>
      </c>
    </row>
    <row r="962">
      <c r="A962" s="23" t="s">
        <v>28</v>
      </c>
    </row>
    <row r="963">
      <c r="A963" s="23" t="s">
        <v>163</v>
      </c>
    </row>
    <row r="964">
      <c r="A964" s="23" t="s">
        <v>152</v>
      </c>
    </row>
    <row r="965">
      <c r="A965" s="23" t="s">
        <v>26</v>
      </c>
    </row>
    <row r="966">
      <c r="A966" s="23" t="s">
        <v>28</v>
      </c>
    </row>
    <row r="967">
      <c r="A967" s="23" t="s">
        <v>163</v>
      </c>
    </row>
    <row r="968">
      <c r="A968" s="23" t="s">
        <v>152</v>
      </c>
    </row>
    <row r="969">
      <c r="A969" s="23" t="s">
        <v>132</v>
      </c>
    </row>
    <row r="970">
      <c r="A970" s="23" t="s">
        <v>139</v>
      </c>
    </row>
    <row r="971">
      <c r="A971" s="23" t="s">
        <v>28</v>
      </c>
    </row>
    <row r="972">
      <c r="A972" s="23" t="s">
        <v>163</v>
      </c>
    </row>
    <row r="973">
      <c r="A973" s="23" t="s">
        <v>152</v>
      </c>
    </row>
    <row r="974">
      <c r="A974" s="23" t="s">
        <v>45</v>
      </c>
    </row>
    <row r="975">
      <c r="A975" s="23" t="s">
        <v>132</v>
      </c>
    </row>
    <row r="976">
      <c r="A976" s="23" t="s">
        <v>12</v>
      </c>
    </row>
    <row r="977">
      <c r="A977" s="23" t="s">
        <v>139</v>
      </c>
    </row>
    <row r="978">
      <c r="A978" s="23" t="s">
        <v>28</v>
      </c>
    </row>
    <row r="979">
      <c r="A979" s="23" t="s">
        <v>49</v>
      </c>
    </row>
    <row r="980">
      <c r="A980" s="23" t="s">
        <v>163</v>
      </c>
    </row>
    <row r="981">
      <c r="A981" s="23" t="s">
        <v>152</v>
      </c>
    </row>
    <row r="982">
      <c r="A982" s="23" t="s">
        <v>132</v>
      </c>
    </row>
    <row r="983">
      <c r="A983" s="23" t="s">
        <v>28</v>
      </c>
    </row>
    <row r="984">
      <c r="A984" s="23" t="s">
        <v>17</v>
      </c>
    </row>
    <row r="985">
      <c r="A985" s="23" t="s">
        <v>49</v>
      </c>
    </row>
    <row r="986">
      <c r="A986" s="23" t="s">
        <v>163</v>
      </c>
    </row>
    <row r="987">
      <c r="A987" s="23" t="s">
        <v>45</v>
      </c>
    </row>
    <row r="988">
      <c r="A988" s="23" t="s">
        <v>12</v>
      </c>
    </row>
    <row r="989">
      <c r="A989" s="23" t="s">
        <v>28</v>
      </c>
    </row>
    <row r="990">
      <c r="A990" s="23" t="s">
        <v>152</v>
      </c>
    </row>
    <row r="991">
      <c r="A991" s="23" t="s">
        <v>12</v>
      </c>
    </row>
    <row r="992">
      <c r="A992" s="23" t="s">
        <v>163</v>
      </c>
    </row>
    <row r="993">
      <c r="A993" s="23" t="s">
        <v>154</v>
      </c>
    </row>
    <row r="994">
      <c r="A994" s="23" t="s">
        <v>47</v>
      </c>
    </row>
    <row r="995">
      <c r="A995" s="23" t="s">
        <v>69</v>
      </c>
    </row>
    <row r="996">
      <c r="A996" s="23" t="s">
        <v>99</v>
      </c>
    </row>
    <row r="997">
      <c r="A997" s="23" t="s">
        <v>28</v>
      </c>
    </row>
    <row r="998">
      <c r="A998" s="23" t="s">
        <v>163</v>
      </c>
    </row>
    <row r="999">
      <c r="A999" s="23" t="s">
        <v>92</v>
      </c>
    </row>
    <row r="1000">
      <c r="A1000" s="23" t="s">
        <v>154</v>
      </c>
    </row>
    <row r="1001">
      <c r="A1001" s="23" t="s">
        <v>69</v>
      </c>
    </row>
    <row r="1002">
      <c r="A1002" s="23" t="s">
        <v>81</v>
      </c>
    </row>
    <row r="1003">
      <c r="A1003" s="23" t="s">
        <v>99</v>
      </c>
    </row>
    <row r="1004">
      <c r="A1004" s="23" t="s">
        <v>12</v>
      </c>
    </row>
    <row r="1005">
      <c r="A1005" s="23" t="s">
        <v>163</v>
      </c>
    </row>
    <row r="1006">
      <c r="A1006" s="23" t="s">
        <v>24</v>
      </c>
    </row>
    <row r="1007">
      <c r="A1007" s="23" t="s">
        <v>152</v>
      </c>
    </row>
    <row r="1008">
      <c r="A1008" s="23" t="s">
        <v>92</v>
      </c>
    </row>
    <row r="1009">
      <c r="A1009" s="23" t="s">
        <v>154</v>
      </c>
    </row>
    <row r="1010">
      <c r="A1010" s="23" t="s">
        <v>41</v>
      </c>
    </row>
    <row r="1011">
      <c r="A1011" s="23" t="s">
        <v>32</v>
      </c>
    </row>
    <row r="1012">
      <c r="A1012" s="23" t="s">
        <v>69</v>
      </c>
    </row>
    <row r="1013">
      <c r="A1013" s="23" t="s">
        <v>81</v>
      </c>
    </row>
    <row r="1014">
      <c r="A1014" s="23" t="s">
        <v>34</v>
      </c>
    </row>
    <row r="1015">
      <c r="A1015" s="23" t="s">
        <v>99</v>
      </c>
    </row>
    <row r="1016">
      <c r="A1016" s="23" t="s">
        <v>109</v>
      </c>
    </row>
    <row r="1017">
      <c r="A1017" s="23" t="s">
        <v>12</v>
      </c>
    </row>
    <row r="1018">
      <c r="A1018" s="23" t="s">
        <v>139</v>
      </c>
    </row>
    <row r="1019">
      <c r="A1019" s="23" t="s">
        <v>64</v>
      </c>
    </row>
    <row r="1020">
      <c r="A1020" s="23" t="s">
        <v>163</v>
      </c>
    </row>
    <row r="1021">
      <c r="A1021" s="23" t="s">
        <v>92</v>
      </c>
    </row>
    <row r="1022">
      <c r="A1022" s="23" t="s">
        <v>154</v>
      </c>
    </row>
    <row r="1023">
      <c r="A1023" s="23" t="s">
        <v>41</v>
      </c>
    </row>
    <row r="1024">
      <c r="A1024" s="23" t="s">
        <v>32</v>
      </c>
    </row>
    <row r="1025">
      <c r="A1025" s="23" t="s">
        <v>69</v>
      </c>
    </row>
    <row r="1026">
      <c r="A1026" s="23" t="s">
        <v>81</v>
      </c>
    </row>
    <row r="1027">
      <c r="A1027" s="23" t="s">
        <v>132</v>
      </c>
    </row>
    <row r="1028">
      <c r="A1028" s="23" t="s">
        <v>34</v>
      </c>
    </row>
    <row r="1029">
      <c r="A1029" s="23" t="s">
        <v>99</v>
      </c>
    </row>
    <row r="1030">
      <c r="A1030" s="23" t="s">
        <v>12</v>
      </c>
    </row>
    <row r="1031">
      <c r="A1031" s="23" t="s">
        <v>139</v>
      </c>
    </row>
    <row r="1032">
      <c r="A1032" s="23" t="s">
        <v>26</v>
      </c>
    </row>
    <row r="1033">
      <c r="A1033" s="23" t="s">
        <v>64</v>
      </c>
    </row>
    <row r="1034">
      <c r="A1034" s="23" t="s">
        <v>24</v>
      </c>
    </row>
    <row r="1035">
      <c r="A1035" s="23" t="s">
        <v>92</v>
      </c>
    </row>
    <row r="1036">
      <c r="A1036" s="23" t="s">
        <v>41</v>
      </c>
    </row>
    <row r="1037">
      <c r="A1037" s="23" t="s">
        <v>32</v>
      </c>
    </row>
    <row r="1038">
      <c r="A1038" s="23" t="s">
        <v>69</v>
      </c>
    </row>
    <row r="1039">
      <c r="A1039" s="23" t="s">
        <v>81</v>
      </c>
    </row>
    <row r="1040">
      <c r="A1040" s="23" t="s">
        <v>132</v>
      </c>
    </row>
    <row r="1041">
      <c r="A1041" s="23" t="s">
        <v>34</v>
      </c>
    </row>
    <row r="1042">
      <c r="A1042" s="23" t="s">
        <v>57</v>
      </c>
    </row>
    <row r="1043">
      <c r="A1043" s="23" t="s">
        <v>160</v>
      </c>
    </row>
    <row r="1044">
      <c r="A1044" s="23" t="s">
        <v>12</v>
      </c>
    </row>
    <row r="1045">
      <c r="A1045" s="23" t="s">
        <v>139</v>
      </c>
    </row>
    <row r="1046">
      <c r="A1046" s="23" t="s">
        <v>147</v>
      </c>
    </row>
    <row r="1047">
      <c r="A1047" s="23" t="s">
        <v>26</v>
      </c>
    </row>
    <row r="1048">
      <c r="A1048" s="23" t="s">
        <v>64</v>
      </c>
    </row>
    <row r="1049">
      <c r="A1049" s="23" t="s">
        <v>92</v>
      </c>
    </row>
    <row r="1050">
      <c r="A1050" s="23" t="s">
        <v>154</v>
      </c>
    </row>
    <row r="1051">
      <c r="A1051" s="23" t="s">
        <v>32</v>
      </c>
    </row>
    <row r="1052">
      <c r="A1052" s="23" t="s">
        <v>47</v>
      </c>
    </row>
    <row r="1053">
      <c r="A1053" s="23" t="s">
        <v>132</v>
      </c>
    </row>
    <row r="1054">
      <c r="A1054" s="23" t="s">
        <v>135</v>
      </c>
    </row>
    <row r="1055">
      <c r="A1055" s="23" t="s">
        <v>160</v>
      </c>
    </row>
    <row r="1056">
      <c r="A1056" s="23" t="s">
        <v>139</v>
      </c>
    </row>
    <row r="1057">
      <c r="A1057" s="23" t="s">
        <v>64</v>
      </c>
    </row>
    <row r="1058">
      <c r="A1058" s="23" t="s">
        <v>24</v>
      </c>
    </row>
    <row r="1059">
      <c r="A1059" s="23" t="s">
        <v>92</v>
      </c>
    </row>
    <row r="1060">
      <c r="A1060" s="23" t="s">
        <v>21</v>
      </c>
    </row>
    <row r="1061">
      <c r="A1061" s="23" t="s">
        <v>47</v>
      </c>
    </row>
    <row r="1062">
      <c r="A1062" s="23" t="s">
        <v>132</v>
      </c>
    </row>
    <row r="1063">
      <c r="A1063" s="23" t="s">
        <v>121</v>
      </c>
    </row>
    <row r="1064">
      <c r="A1064" s="23" t="s">
        <v>135</v>
      </c>
    </row>
    <row r="1065">
      <c r="A1065" s="23" t="s">
        <v>57</v>
      </c>
    </row>
    <row r="1066">
      <c r="A1066" s="23" t="s">
        <v>160</v>
      </c>
    </row>
    <row r="1067">
      <c r="A1067" s="23" t="s">
        <v>147</v>
      </c>
    </row>
    <row r="1068">
      <c r="A1068" s="23" t="s">
        <v>172</v>
      </c>
    </row>
    <row r="1069">
      <c r="A1069" s="23" t="s">
        <v>85</v>
      </c>
    </row>
    <row r="1070">
      <c r="A1070" s="23" t="s">
        <v>139</v>
      </c>
    </row>
    <row r="1071">
      <c r="A1071" s="23" t="s">
        <v>92</v>
      </c>
    </row>
    <row r="1072">
      <c r="A1072" s="23" t="s">
        <v>21</v>
      </c>
    </row>
    <row r="1073">
      <c r="A1073" s="23" t="s">
        <v>135</v>
      </c>
    </row>
    <row r="1074">
      <c r="A1074" s="23" t="s">
        <v>160</v>
      </c>
    </row>
    <row r="1075">
      <c r="A1075" s="23" t="s">
        <v>92</v>
      </c>
    </row>
    <row r="1076">
      <c r="A1076" s="23" t="s">
        <v>21</v>
      </c>
    </row>
    <row r="1077">
      <c r="A1077" s="23" t="s">
        <v>47</v>
      </c>
    </row>
    <row r="1078">
      <c r="A1078" s="23" t="s">
        <v>85</v>
      </c>
    </row>
    <row r="1079">
      <c r="A1079" s="23" t="s">
        <v>132</v>
      </c>
    </row>
    <row r="1080">
      <c r="A1080" s="23" t="s">
        <v>139</v>
      </c>
    </row>
    <row r="1081">
      <c r="A1081" s="23" t="s">
        <v>172</v>
      </c>
    </row>
    <row r="1082">
      <c r="A1082" s="23" t="s">
        <v>152</v>
      </c>
    </row>
    <row r="1083">
      <c r="A1083" s="23" t="s">
        <v>85</v>
      </c>
    </row>
    <row r="1084">
      <c r="A1084" s="23" t="s">
        <v>135</v>
      </c>
    </row>
    <row r="1085">
      <c r="A1085" s="23" t="s">
        <v>139</v>
      </c>
    </row>
    <row r="1086">
      <c r="A1086" s="23" t="s">
        <v>17</v>
      </c>
    </row>
    <row r="1087">
      <c r="A1087" s="23" t="s">
        <v>152</v>
      </c>
    </row>
    <row r="1088">
      <c r="A1088" s="23" t="s">
        <v>85</v>
      </c>
    </row>
    <row r="1089">
      <c r="A1089" s="23" t="s">
        <v>69</v>
      </c>
    </row>
    <row r="1090">
      <c r="A1090" s="23" t="s">
        <v>139</v>
      </c>
    </row>
    <row r="1091">
      <c r="A1091" s="23" t="s">
        <v>28</v>
      </c>
    </row>
    <row r="1092">
      <c r="A1092" s="23" t="s">
        <v>17</v>
      </c>
    </row>
    <row r="1093">
      <c r="A1093" s="23" t="s">
        <v>152</v>
      </c>
    </row>
    <row r="1094">
      <c r="A1094" s="23" t="s">
        <v>45</v>
      </c>
    </row>
    <row r="1095">
      <c r="A1095" s="23" t="s">
        <v>69</v>
      </c>
    </row>
    <row r="1096">
      <c r="A1096" s="23" t="s">
        <v>135</v>
      </c>
    </row>
    <row r="1097">
      <c r="A1097" s="23" t="s">
        <v>139</v>
      </c>
    </row>
    <row r="1098">
      <c r="A1098" s="23" t="s">
        <v>28</v>
      </c>
    </row>
    <row r="1099">
      <c r="A1099" s="23" t="s">
        <v>152</v>
      </c>
    </row>
    <row r="1100">
      <c r="A1100" s="23" t="s">
        <v>45</v>
      </c>
    </row>
    <row r="1101">
      <c r="A1101" s="23" t="s">
        <v>41</v>
      </c>
    </row>
    <row r="1102">
      <c r="A1102" s="23" t="s">
        <v>69</v>
      </c>
    </row>
    <row r="1103">
      <c r="A1103" s="23" t="s">
        <v>160</v>
      </c>
    </row>
    <row r="1104">
      <c r="A1104" s="23" t="s">
        <v>28</v>
      </c>
    </row>
    <row r="1105">
      <c r="A1105" s="23" t="s">
        <v>152</v>
      </c>
    </row>
    <row r="1106">
      <c r="A1106" s="23" t="s">
        <v>45</v>
      </c>
    </row>
    <row r="1107">
      <c r="A1107" s="23" t="s">
        <v>154</v>
      </c>
    </row>
    <row r="1108">
      <c r="A1108" s="23" t="s">
        <v>69</v>
      </c>
    </row>
    <row r="1109">
      <c r="A1109" s="23" t="s">
        <v>160</v>
      </c>
    </row>
    <row r="1110">
      <c r="A1110" s="23" t="s">
        <v>139</v>
      </c>
    </row>
    <row r="1111">
      <c r="A1111" s="23" t="s">
        <v>28</v>
      </c>
    </row>
    <row r="1112">
      <c r="A1112" s="23" t="s">
        <v>152</v>
      </c>
    </row>
    <row r="1113">
      <c r="A1113" s="23" t="s">
        <v>154</v>
      </c>
    </row>
    <row r="1114">
      <c r="A1114" s="23" t="s">
        <v>41</v>
      </c>
    </row>
    <row r="1115">
      <c r="A1115" s="23" t="s">
        <v>69</v>
      </c>
    </row>
    <row r="1116">
      <c r="A1116" s="23" t="s">
        <v>57</v>
      </c>
    </row>
    <row r="1117">
      <c r="A1117" s="23" t="s">
        <v>12</v>
      </c>
    </row>
    <row r="1118">
      <c r="A1118" s="23" t="s">
        <v>28</v>
      </c>
    </row>
    <row r="1119">
      <c r="A1119" s="23" t="s">
        <v>17</v>
      </c>
    </row>
    <row r="1120">
      <c r="A1120" s="23" t="s">
        <v>152</v>
      </c>
    </row>
    <row r="1121">
      <c r="A1121" s="23" t="s">
        <v>47</v>
      </c>
    </row>
    <row r="1122">
      <c r="A1122" s="23" t="s">
        <v>69</v>
      </c>
    </row>
    <row r="1123">
      <c r="A1123" s="23" t="s">
        <v>12</v>
      </c>
    </row>
    <row r="1124">
      <c r="A1124" s="23" t="s">
        <v>92</v>
      </c>
    </row>
    <row r="1125">
      <c r="A1125" s="23" t="s">
        <v>154</v>
      </c>
    </row>
    <row r="1126">
      <c r="A1126" s="23" t="s">
        <v>41</v>
      </c>
    </row>
    <row r="1127">
      <c r="A1127" s="23" t="s">
        <v>172</v>
      </c>
    </row>
    <row r="1128">
      <c r="A1128" s="23" t="s">
        <v>28</v>
      </c>
    </row>
    <row r="1129">
      <c r="A1129" s="23" t="s">
        <v>15</v>
      </c>
    </row>
    <row r="1130">
      <c r="A1130" s="23" t="s">
        <v>152</v>
      </c>
    </row>
    <row r="1131">
      <c r="A1131" s="23" t="s">
        <v>92</v>
      </c>
    </row>
    <row r="1132">
      <c r="A1132" s="23" t="s">
        <v>41</v>
      </c>
    </row>
    <row r="1133">
      <c r="A1133" s="23" t="s">
        <v>69</v>
      </c>
    </row>
    <row r="1134">
      <c r="A1134" s="23" t="s">
        <v>132</v>
      </c>
    </row>
    <row r="1135">
      <c r="A1135" s="23" t="s">
        <v>160</v>
      </c>
    </row>
    <row r="1136">
      <c r="A1136" s="23" t="s">
        <v>12</v>
      </c>
    </row>
    <row r="1137">
      <c r="A1137" s="23" t="s">
        <v>139</v>
      </c>
    </row>
    <row r="1138">
      <c r="A1138" s="23" t="s">
        <v>28</v>
      </c>
    </row>
    <row r="1139">
      <c r="A1139" s="23" t="s">
        <v>69</v>
      </c>
    </row>
    <row r="1140">
      <c r="A1140" s="23" t="s">
        <v>132</v>
      </c>
    </row>
    <row r="1141">
      <c r="A1141" s="23" t="s">
        <v>34</v>
      </c>
    </row>
    <row r="1142">
      <c r="A1142" s="23" t="s">
        <v>160</v>
      </c>
    </row>
    <row r="1143">
      <c r="A1143" s="23" t="s">
        <v>12</v>
      </c>
    </row>
    <row r="1144">
      <c r="A1144" s="23" t="s">
        <v>139</v>
      </c>
    </row>
    <row r="1145">
      <c r="A1145" s="23" t="s">
        <v>24</v>
      </c>
    </row>
    <row r="1146">
      <c r="A1146" s="23" t="s">
        <v>152</v>
      </c>
    </row>
    <row r="1147">
      <c r="A1147" s="23" t="s">
        <v>92</v>
      </c>
    </row>
    <row r="1148">
      <c r="A1148" s="23" t="s">
        <v>41</v>
      </c>
    </row>
    <row r="1149">
      <c r="A1149" s="23" t="s">
        <v>32</v>
      </c>
    </row>
    <row r="1150">
      <c r="A1150" s="23" t="s">
        <v>77</v>
      </c>
    </row>
    <row r="1151">
      <c r="A1151" s="23" t="s">
        <v>69</v>
      </c>
    </row>
    <row r="1152">
      <c r="A1152" s="23" t="s">
        <v>57</v>
      </c>
    </row>
    <row r="1153">
      <c r="A1153" s="23" t="s">
        <v>12</v>
      </c>
    </row>
    <row r="1154">
      <c r="A1154" s="23" t="s">
        <v>139</v>
      </c>
    </row>
    <row r="1155">
      <c r="A1155" s="23" t="s">
        <v>28</v>
      </c>
    </row>
    <row r="1156">
      <c r="A1156" s="23" t="s">
        <v>17</v>
      </c>
    </row>
    <row r="1157">
      <c r="A1157" s="23" t="s">
        <v>15</v>
      </c>
    </row>
    <row r="1158">
      <c r="A1158" s="23" t="s">
        <v>49</v>
      </c>
    </row>
    <row r="1159">
      <c r="A1159" s="23" t="s">
        <v>163</v>
      </c>
    </row>
    <row r="1160">
      <c r="A1160" s="23" t="s">
        <v>24</v>
      </c>
    </row>
    <row r="1161">
      <c r="A1161" s="23" t="s">
        <v>152</v>
      </c>
    </row>
    <row r="1162">
      <c r="A1162" s="23" t="s">
        <v>32</v>
      </c>
    </row>
    <row r="1163">
      <c r="A1163" s="23" t="s">
        <v>77</v>
      </c>
    </row>
    <row r="1164">
      <c r="A1164" s="23" t="s">
        <v>81</v>
      </c>
    </row>
    <row r="1165">
      <c r="A1165" s="23" t="s">
        <v>132</v>
      </c>
    </row>
    <row r="1166">
      <c r="A1166" s="23" t="s">
        <v>57</v>
      </c>
    </row>
    <row r="1167">
      <c r="A1167" s="23" t="s">
        <v>160</v>
      </c>
    </row>
    <row r="1168">
      <c r="A1168" s="23" t="s">
        <v>12</v>
      </c>
    </row>
    <row r="1169">
      <c r="A1169" s="23" t="s">
        <v>139</v>
      </c>
    </row>
    <row r="1170">
      <c r="A1170" s="23" t="s">
        <v>15</v>
      </c>
    </row>
    <row r="1171">
      <c r="A1171" s="23" t="s">
        <v>49</v>
      </c>
    </row>
    <row r="1172">
      <c r="A1172" s="23" t="s">
        <v>163</v>
      </c>
    </row>
    <row r="1173">
      <c r="A1173" s="23" t="s">
        <v>24</v>
      </c>
    </row>
    <row r="1174">
      <c r="A1174" s="23" t="s">
        <v>152</v>
      </c>
    </row>
    <row r="1175">
      <c r="A1175" s="23" t="s">
        <v>45</v>
      </c>
    </row>
    <row r="1176">
      <c r="A1176" s="23" t="s">
        <v>92</v>
      </c>
    </row>
    <row r="1177">
      <c r="A1177" s="23" t="s">
        <v>154</v>
      </c>
    </row>
    <row r="1178">
      <c r="A1178" s="23" t="s">
        <v>41</v>
      </c>
    </row>
    <row r="1179">
      <c r="A1179" s="23" t="s">
        <v>32</v>
      </c>
    </row>
    <row r="1180">
      <c r="A1180" s="23" t="s">
        <v>81</v>
      </c>
    </row>
    <row r="1181">
      <c r="A1181" s="23" t="s">
        <v>132</v>
      </c>
    </row>
    <row r="1182">
      <c r="A1182" s="23" t="s">
        <v>160</v>
      </c>
    </row>
    <row r="1183">
      <c r="A1183" s="23" t="s">
        <v>12</v>
      </c>
    </row>
    <row r="1184">
      <c r="A1184" s="23" t="s">
        <v>139</v>
      </c>
    </row>
    <row r="1185">
      <c r="A1185" s="23" t="s">
        <v>15</v>
      </c>
    </row>
    <row r="1186">
      <c r="A1186" s="23" t="s">
        <v>49</v>
      </c>
    </row>
    <row r="1187">
      <c r="A1187" s="23" t="s">
        <v>24</v>
      </c>
    </row>
    <row r="1188">
      <c r="A1188" s="23" t="s">
        <v>92</v>
      </c>
    </row>
    <row r="1189">
      <c r="A1189" s="23" t="s">
        <v>154</v>
      </c>
    </row>
    <row r="1190">
      <c r="A1190" s="23" t="s">
        <v>85</v>
      </c>
    </row>
    <row r="1191">
      <c r="A1191" s="23" t="s">
        <v>81</v>
      </c>
    </row>
    <row r="1192">
      <c r="A1192" s="23" t="s">
        <v>132</v>
      </c>
    </row>
    <row r="1193">
      <c r="A1193" s="23" t="s">
        <v>135</v>
      </c>
    </row>
    <row r="1194">
      <c r="A1194" s="23" t="s">
        <v>160</v>
      </c>
    </row>
    <row r="1195">
      <c r="A1195" s="23" t="s">
        <v>139</v>
      </c>
    </row>
    <row r="1196">
      <c r="A1196" s="23" t="s">
        <v>49</v>
      </c>
    </row>
    <row r="1197">
      <c r="A1197" s="23" t="s">
        <v>24</v>
      </c>
    </row>
    <row r="1198">
      <c r="A1198" s="23" t="s">
        <v>92</v>
      </c>
    </row>
    <row r="1199">
      <c r="A1199" s="23" t="s">
        <v>47</v>
      </c>
    </row>
    <row r="1200">
      <c r="A1200" s="23" t="s">
        <v>85</v>
      </c>
    </row>
    <row r="1201">
      <c r="A1201" s="23" t="s">
        <v>132</v>
      </c>
    </row>
    <row r="1202">
      <c r="A1202" s="23" t="s">
        <v>135</v>
      </c>
    </row>
    <row r="1203">
      <c r="A1203" s="23" t="s">
        <v>139</v>
      </c>
    </row>
    <row r="1204">
      <c r="A1204" s="23" t="s">
        <v>163</v>
      </c>
    </row>
    <row r="1205">
      <c r="A1205" s="23" t="s">
        <v>24</v>
      </c>
    </row>
    <row r="1206">
      <c r="A1206" s="23" t="s">
        <v>152</v>
      </c>
    </row>
    <row r="1207">
      <c r="A1207" s="23" t="s">
        <v>69</v>
      </c>
    </row>
    <row r="1208">
      <c r="A1208" s="23" t="s">
        <v>119</v>
      </c>
    </row>
    <row r="1209">
      <c r="A1209" s="23" t="s">
        <v>26</v>
      </c>
    </row>
    <row r="1210">
      <c r="A1210" s="23" t="s">
        <v>64</v>
      </c>
    </row>
    <row r="1211">
      <c r="A1211" s="23" t="s">
        <v>28</v>
      </c>
    </row>
    <row r="1212">
      <c r="A1212" s="23" t="s">
        <v>17</v>
      </c>
    </row>
    <row r="1213">
      <c r="A1213" s="23" t="s">
        <v>49</v>
      </c>
    </row>
    <row r="1214">
      <c r="A1214" s="23" t="s">
        <v>85</v>
      </c>
    </row>
    <row r="1215">
      <c r="A1215" s="23" t="s">
        <v>12</v>
      </c>
    </row>
    <row r="1216">
      <c r="A1216" s="23" t="s">
        <v>163</v>
      </c>
    </row>
    <row r="1217">
      <c r="A1217" s="23" t="s">
        <v>152</v>
      </c>
    </row>
    <row r="1218">
      <c r="A1218" s="23" t="s">
        <v>85</v>
      </c>
    </row>
    <row r="1219">
      <c r="A1219" s="23" t="s">
        <v>119</v>
      </c>
    </row>
    <row r="1220">
      <c r="A1220" s="23" t="s">
        <v>26</v>
      </c>
    </row>
    <row r="1221">
      <c r="A1221" s="23" t="s">
        <v>64</v>
      </c>
    </row>
    <row r="1222">
      <c r="A1222" s="23" t="s">
        <v>163</v>
      </c>
    </row>
    <row r="1223">
      <c r="A1223" s="23" t="s">
        <v>152</v>
      </c>
    </row>
    <row r="1224">
      <c r="A1224" s="23" t="s">
        <v>85</v>
      </c>
    </row>
    <row r="1225">
      <c r="A1225" s="23" t="s">
        <v>69</v>
      </c>
    </row>
    <row r="1226">
      <c r="A1226" s="23" t="s">
        <v>12</v>
      </c>
    </row>
    <row r="1227">
      <c r="A1227" s="23" t="s">
        <v>139</v>
      </c>
    </row>
    <row r="1228">
      <c r="A1228" s="23" t="s">
        <v>64</v>
      </c>
    </row>
    <row r="1229">
      <c r="A1229" s="23" t="s">
        <v>28</v>
      </c>
    </row>
    <row r="1230">
      <c r="A1230" s="23" t="s">
        <v>152</v>
      </c>
    </row>
    <row r="1231">
      <c r="A1231" s="23" t="s">
        <v>69</v>
      </c>
    </row>
    <row r="1232">
      <c r="A1232" s="23" t="s">
        <v>12</v>
      </c>
    </row>
    <row r="1233">
      <c r="A1233" s="23" t="s">
        <v>139</v>
      </c>
    </row>
    <row r="1234">
      <c r="A1234" s="23" t="s">
        <v>28</v>
      </c>
    </row>
    <row r="1235">
      <c r="A1235" s="23" t="s">
        <v>163</v>
      </c>
    </row>
    <row r="1236">
      <c r="A1236" s="23" t="s">
        <v>152</v>
      </c>
    </row>
    <row r="1237">
      <c r="A1237" s="23" t="s">
        <v>41</v>
      </c>
    </row>
    <row r="1238">
      <c r="A1238" s="23" t="s">
        <v>47</v>
      </c>
    </row>
    <row r="1239">
      <c r="A1239" s="23" t="s">
        <v>69</v>
      </c>
    </row>
    <row r="1240">
      <c r="A1240" s="23" t="s">
        <v>139</v>
      </c>
    </row>
    <row r="1241">
      <c r="A1241" s="23" t="s">
        <v>147</v>
      </c>
    </row>
    <row r="1242">
      <c r="A1242" s="23" t="s">
        <v>28</v>
      </c>
    </row>
    <row r="1243">
      <c r="A1243" s="23" t="s">
        <v>152</v>
      </c>
    </row>
    <row r="1244">
      <c r="A1244" s="23" t="s">
        <v>92</v>
      </c>
    </row>
    <row r="1245">
      <c r="A1245" s="23" t="s">
        <v>135</v>
      </c>
    </row>
    <row r="1246">
      <c r="A1246" s="23" t="s">
        <v>12</v>
      </c>
    </row>
    <row r="1247">
      <c r="A1247" s="23" t="s">
        <v>147</v>
      </c>
    </row>
    <row r="1248">
      <c r="A1248" s="23" t="s">
        <v>64</v>
      </c>
    </row>
    <row r="1249">
      <c r="A1249" s="23" t="s">
        <v>28</v>
      </c>
    </row>
    <row r="1250">
      <c r="A1250" s="23" t="s">
        <v>92</v>
      </c>
    </row>
    <row r="1251">
      <c r="A1251" s="23" t="s">
        <v>47</v>
      </c>
    </row>
    <row r="1252">
      <c r="A1252" s="23" t="s">
        <v>147</v>
      </c>
    </row>
    <row r="1253">
      <c r="A1253" s="23" t="s">
        <v>64</v>
      </c>
    </row>
    <row r="1254">
      <c r="A1254" s="23" t="s">
        <v>28</v>
      </c>
    </row>
    <row r="1255">
      <c r="A1255" s="23" t="s">
        <v>49</v>
      </c>
    </row>
    <row r="1256">
      <c r="A1256" s="23" t="s">
        <v>163</v>
      </c>
    </row>
    <row r="1257">
      <c r="A1257" s="23" t="s">
        <v>154</v>
      </c>
    </row>
    <row r="1258">
      <c r="A1258" s="23" t="s">
        <v>41</v>
      </c>
    </row>
    <row r="1259">
      <c r="A1259" s="23" t="s">
        <v>47</v>
      </c>
    </row>
    <row r="1260">
      <c r="A1260" s="23" t="s">
        <v>160</v>
      </c>
    </row>
    <row r="1261">
      <c r="A1261" s="23" t="s">
        <v>12</v>
      </c>
    </row>
    <row r="1262">
      <c r="A1262" s="23" t="s">
        <v>139</v>
      </c>
    </row>
    <row r="1263">
      <c r="A1263" s="23" t="s">
        <v>64</v>
      </c>
    </row>
    <row r="1264">
      <c r="A1264" s="23" t="s">
        <v>28</v>
      </c>
    </row>
    <row r="1265">
      <c r="A1265" s="23" t="s">
        <v>163</v>
      </c>
    </row>
    <row r="1266">
      <c r="A1266" s="23" t="s">
        <v>92</v>
      </c>
    </row>
    <row r="1267">
      <c r="A1267" s="23" t="s">
        <v>41</v>
      </c>
    </row>
    <row r="1268">
      <c r="A1268" s="23" t="s">
        <v>47</v>
      </c>
    </row>
    <row r="1269">
      <c r="A1269" s="23" t="s">
        <v>132</v>
      </c>
    </row>
    <row r="1270">
      <c r="A1270" s="23" t="s">
        <v>12</v>
      </c>
    </row>
    <row r="1271">
      <c r="A1271" s="23" t="s">
        <v>147</v>
      </c>
    </row>
    <row r="1272">
      <c r="A1272" s="23" t="s">
        <v>64</v>
      </c>
    </row>
    <row r="1273">
      <c r="A1273" s="23" t="s">
        <v>28</v>
      </c>
    </row>
    <row r="1274">
      <c r="A1274" s="23" t="s">
        <v>49</v>
      </c>
    </row>
    <row r="1275">
      <c r="A1275" s="23" t="s">
        <v>163</v>
      </c>
    </row>
    <row r="1276">
      <c r="A1276" s="23" t="s">
        <v>24</v>
      </c>
    </row>
    <row r="1277">
      <c r="A1277" s="23" t="s">
        <v>152</v>
      </c>
    </row>
    <row r="1278">
      <c r="A1278" s="23" t="s">
        <v>154</v>
      </c>
    </row>
    <row r="1279">
      <c r="A1279" s="23" t="s">
        <v>41</v>
      </c>
    </row>
    <row r="1280">
      <c r="A1280" s="23" t="s">
        <v>32</v>
      </c>
    </row>
    <row r="1281">
      <c r="A1281" s="23" t="s">
        <v>69</v>
      </c>
    </row>
    <row r="1282">
      <c r="A1282" s="23" t="s">
        <v>99</v>
      </c>
    </row>
    <row r="1283">
      <c r="A1283" s="23" t="s">
        <v>160</v>
      </c>
    </row>
    <row r="1284">
      <c r="A1284" s="23" t="s">
        <v>12</v>
      </c>
    </row>
    <row r="1285">
      <c r="A1285" s="23" t="s">
        <v>139</v>
      </c>
    </row>
    <row r="1286">
      <c r="A1286" s="23" t="s">
        <v>147</v>
      </c>
    </row>
    <row r="1287">
      <c r="A1287" s="23" t="s">
        <v>26</v>
      </c>
    </row>
    <row r="1288">
      <c r="A1288" s="23" t="s">
        <v>64</v>
      </c>
    </row>
    <row r="1289">
      <c r="A1289" s="23" t="s">
        <v>28</v>
      </c>
    </row>
    <row r="1290">
      <c r="A1290" s="23" t="s">
        <v>17</v>
      </c>
    </row>
    <row r="1291">
      <c r="A1291" s="23" t="s">
        <v>49</v>
      </c>
    </row>
    <row r="1292">
      <c r="A1292" s="23" t="s">
        <v>21</v>
      </c>
    </row>
    <row r="1293">
      <c r="A1293" s="23" t="s">
        <v>21</v>
      </c>
    </row>
    <row r="1294">
      <c r="A1294" s="23" t="s">
        <v>24</v>
      </c>
    </row>
    <row r="1295">
      <c r="A1295" s="23" t="s">
        <v>152</v>
      </c>
    </row>
    <row r="1296">
      <c r="A1296" s="23" t="s">
        <v>92</v>
      </c>
    </row>
    <row r="1297">
      <c r="A1297" s="23" t="s">
        <v>41</v>
      </c>
    </row>
    <row r="1298">
      <c r="A1298" s="23" t="s">
        <v>32</v>
      </c>
    </row>
    <row r="1299">
      <c r="A1299" s="23" t="s">
        <v>47</v>
      </c>
    </row>
    <row r="1300">
      <c r="A1300" s="23" t="s">
        <v>132</v>
      </c>
    </row>
    <row r="1301">
      <c r="A1301" s="23" t="s">
        <v>99</v>
      </c>
    </row>
    <row r="1302">
      <c r="A1302" s="23" t="s">
        <v>12</v>
      </c>
    </row>
    <row r="1303">
      <c r="A1303" s="23" t="s">
        <v>139</v>
      </c>
    </row>
    <row r="1304">
      <c r="A1304" s="23" t="s">
        <v>147</v>
      </c>
    </row>
    <row r="1305">
      <c r="A1305" s="23" t="s">
        <v>64</v>
      </c>
    </row>
    <row r="1306">
      <c r="A1306" s="23" t="s">
        <v>152</v>
      </c>
    </row>
    <row r="1307">
      <c r="A1307" s="23" t="s">
        <v>92</v>
      </c>
    </row>
    <row r="1308">
      <c r="A1308" s="23" t="s">
        <v>154</v>
      </c>
    </row>
    <row r="1309">
      <c r="A1309" s="23" t="s">
        <v>41</v>
      </c>
    </row>
    <row r="1310">
      <c r="A1310" s="23" t="s">
        <v>32</v>
      </c>
    </row>
    <row r="1311">
      <c r="A1311" s="23" t="s">
        <v>47</v>
      </c>
    </row>
    <row r="1312">
      <c r="A1312" s="23" t="s">
        <v>132</v>
      </c>
    </row>
    <row r="1313">
      <c r="A1313" s="23" t="s">
        <v>160</v>
      </c>
    </row>
    <row r="1314">
      <c r="A1314" s="23" t="s">
        <v>12</v>
      </c>
    </row>
    <row r="1315">
      <c r="A1315" s="23" t="s">
        <v>139</v>
      </c>
    </row>
    <row r="1316">
      <c r="A1316" s="23" t="s">
        <v>64</v>
      </c>
    </row>
    <row r="1317">
      <c r="A1317" s="23" t="s">
        <v>92</v>
      </c>
    </row>
    <row r="1318">
      <c r="A1318" s="23" t="s">
        <v>154</v>
      </c>
    </row>
    <row r="1319">
      <c r="A1319" s="23" t="s">
        <v>47</v>
      </c>
    </row>
    <row r="1320">
      <c r="A1320" s="23" t="s">
        <v>85</v>
      </c>
    </row>
    <row r="1321">
      <c r="A1321" s="23" t="s">
        <v>132</v>
      </c>
    </row>
    <row r="1322">
      <c r="A1322" s="23" t="s">
        <v>160</v>
      </c>
    </row>
    <row r="1323">
      <c r="A1323" s="23" t="s">
        <v>12</v>
      </c>
    </row>
    <row r="1324">
      <c r="A1324" s="23" t="s">
        <v>139</v>
      </c>
    </row>
    <row r="1325">
      <c r="A1325" s="23" t="s">
        <v>147</v>
      </c>
    </row>
    <row r="1326">
      <c r="A1326" s="23" t="s">
        <v>64</v>
      </c>
    </row>
    <row r="1327">
      <c r="A1327" s="23" t="s">
        <v>24</v>
      </c>
    </row>
    <row r="1328">
      <c r="A1328" s="23" t="s">
        <v>92</v>
      </c>
    </row>
    <row r="1329">
      <c r="A1329" s="23" t="s">
        <v>47</v>
      </c>
    </row>
    <row r="1330">
      <c r="A1330" s="23" t="s">
        <v>85</v>
      </c>
    </row>
    <row r="1331">
      <c r="A1331" s="23" t="s">
        <v>132</v>
      </c>
    </row>
    <row r="1332">
      <c r="A1332" s="23" t="s">
        <v>121</v>
      </c>
    </row>
    <row r="1333">
      <c r="A1333" s="23" t="s">
        <v>135</v>
      </c>
    </row>
    <row r="1334">
      <c r="A1334" s="23" t="s">
        <v>160</v>
      </c>
    </row>
    <row r="1335">
      <c r="A1335" s="23" t="s">
        <v>139</v>
      </c>
    </row>
    <row r="1336">
      <c r="A1336" s="23" t="s">
        <v>147</v>
      </c>
    </row>
    <row r="1337">
      <c r="A1337" s="23" t="s">
        <v>26</v>
      </c>
    </row>
    <row r="1338">
      <c r="A1338" s="23" t="s">
        <v>163</v>
      </c>
    </row>
    <row r="1339">
      <c r="A1339" s="23" t="s">
        <v>152</v>
      </c>
    </row>
    <row r="1340">
      <c r="A1340" s="23" t="s">
        <v>85</v>
      </c>
    </row>
    <row r="1341">
      <c r="A1341" s="23" t="s">
        <v>69</v>
      </c>
    </row>
    <row r="1342">
      <c r="A1342" s="23" t="s">
        <v>28</v>
      </c>
    </row>
    <row r="1343">
      <c r="A1343" s="23" t="s">
        <v>163</v>
      </c>
    </row>
    <row r="1344">
      <c r="A1344" s="23" t="s">
        <v>152</v>
      </c>
    </row>
    <row r="1345">
      <c r="A1345" s="23" t="s">
        <v>85</v>
      </c>
    </row>
    <row r="1346">
      <c r="A1346" s="23" t="s">
        <v>77</v>
      </c>
    </row>
    <row r="1347">
      <c r="A1347" s="23" t="s">
        <v>163</v>
      </c>
    </row>
    <row r="1348">
      <c r="A1348" s="23" t="s">
        <v>152</v>
      </c>
    </row>
    <row r="1349">
      <c r="A1349" s="23" t="s">
        <v>41</v>
      </c>
    </row>
    <row r="1350">
      <c r="A1350" s="23" t="s">
        <v>69</v>
      </c>
    </row>
    <row r="1351">
      <c r="A1351" s="23" t="s">
        <v>28</v>
      </c>
    </row>
    <row r="1352">
      <c r="A1352" s="23" t="s">
        <v>163</v>
      </c>
    </row>
    <row r="1353">
      <c r="A1353" s="23" t="s">
        <v>152</v>
      </c>
    </row>
    <row r="1354">
      <c r="A1354" s="23" t="s">
        <v>41</v>
      </c>
    </row>
    <row r="1355">
      <c r="A1355" s="23" t="s">
        <v>69</v>
      </c>
    </row>
    <row r="1356">
      <c r="A1356" s="23" t="s">
        <v>99</v>
      </c>
    </row>
    <row r="1357">
      <c r="A1357" s="23" t="s">
        <v>12</v>
      </c>
    </row>
    <row r="1358">
      <c r="A1358" s="23" t="s">
        <v>163</v>
      </c>
    </row>
    <row r="1359">
      <c r="A1359" s="23" t="s">
        <v>152</v>
      </c>
    </row>
    <row r="1360">
      <c r="A1360" s="23" t="s">
        <v>41</v>
      </c>
    </row>
    <row r="1361">
      <c r="A1361" s="23" t="s">
        <v>77</v>
      </c>
    </row>
    <row r="1362">
      <c r="A1362" s="23" t="s">
        <v>69</v>
      </c>
    </row>
    <row r="1363">
      <c r="A1363" s="23" t="s">
        <v>99</v>
      </c>
    </row>
    <row r="1364">
      <c r="A1364" s="23" t="s">
        <v>160</v>
      </c>
    </row>
    <row r="1365">
      <c r="A1365" s="23" t="s">
        <v>12</v>
      </c>
    </row>
    <row r="1366">
      <c r="A1366" s="23" t="s">
        <v>147</v>
      </c>
    </row>
    <row r="1367">
      <c r="A1367" s="23" t="s">
        <v>26</v>
      </c>
    </row>
    <row r="1368">
      <c r="A1368" s="23" t="s">
        <v>28</v>
      </c>
    </row>
    <row r="1369">
      <c r="A1369" s="23" t="s">
        <v>17</v>
      </c>
    </row>
    <row r="1370">
      <c r="A1370" s="23" t="s">
        <v>163</v>
      </c>
    </row>
    <row r="1371">
      <c r="A1371" s="23" t="s">
        <v>152</v>
      </c>
    </row>
    <row r="1372">
      <c r="A1372" s="23" t="s">
        <v>77</v>
      </c>
    </row>
    <row r="1373">
      <c r="A1373" s="23" t="s">
        <v>69</v>
      </c>
    </row>
    <row r="1374">
      <c r="A1374" s="23" t="s">
        <v>132</v>
      </c>
    </row>
    <row r="1375">
      <c r="A1375" s="23" t="s">
        <v>135</v>
      </c>
    </row>
    <row r="1376">
      <c r="A1376" s="23" t="s">
        <v>160</v>
      </c>
    </row>
    <row r="1377">
      <c r="A1377" s="23" t="s">
        <v>28</v>
      </c>
    </row>
    <row r="1378">
      <c r="A1378" s="23" t="s">
        <v>163</v>
      </c>
    </row>
    <row r="1379">
      <c r="A1379" s="23" t="s">
        <v>152</v>
      </c>
    </row>
    <row r="1380">
      <c r="A1380" s="23" t="s">
        <v>41</v>
      </c>
    </row>
    <row r="1381">
      <c r="A1381" s="23" t="s">
        <v>132</v>
      </c>
    </row>
    <row r="1382">
      <c r="A1382" s="23" t="s">
        <v>135</v>
      </c>
    </row>
    <row r="1383">
      <c r="A1383" s="23" t="s">
        <v>160</v>
      </c>
    </row>
    <row r="1384">
      <c r="A1384" s="23" t="s">
        <v>147</v>
      </c>
    </row>
    <row r="1385">
      <c r="A1385" s="23" t="s">
        <v>28</v>
      </c>
    </row>
    <row r="1386">
      <c r="A1386" s="23" t="s">
        <v>15</v>
      </c>
    </row>
    <row r="1387">
      <c r="A1387" s="23" t="s">
        <v>163</v>
      </c>
    </row>
    <row r="1388">
      <c r="A1388" s="23" t="s">
        <v>24</v>
      </c>
    </row>
    <row r="1389">
      <c r="A1389" s="23" t="s">
        <v>152</v>
      </c>
    </row>
    <row r="1390">
      <c r="A1390" s="23" t="s">
        <v>41</v>
      </c>
    </row>
    <row r="1391">
      <c r="A1391" s="23" t="s">
        <v>81</v>
      </c>
    </row>
    <row r="1392">
      <c r="A1392" s="23" t="s">
        <v>132</v>
      </c>
    </row>
    <row r="1393">
      <c r="A1393" s="23" t="s">
        <v>135</v>
      </c>
    </row>
    <row r="1394">
      <c r="A1394" s="23" t="s">
        <v>139</v>
      </c>
    </row>
    <row r="1395">
      <c r="A1395" s="23" t="s">
        <v>147</v>
      </c>
    </row>
    <row r="1396">
      <c r="A1396" s="23" t="s">
        <v>28</v>
      </c>
    </row>
    <row r="1397">
      <c r="A1397" s="23" t="s">
        <v>15</v>
      </c>
    </row>
    <row r="1398">
      <c r="A1398" s="23" t="s">
        <v>49</v>
      </c>
    </row>
    <row r="1399">
      <c r="A1399" s="23" t="s">
        <v>163</v>
      </c>
    </row>
    <row r="1400">
      <c r="A1400" s="23" t="s">
        <v>24</v>
      </c>
    </row>
    <row r="1401">
      <c r="A1401" s="23" t="s">
        <v>152</v>
      </c>
    </row>
    <row r="1402">
      <c r="A1402" s="23" t="s">
        <v>92</v>
      </c>
    </row>
    <row r="1403">
      <c r="A1403" s="23" t="s">
        <v>154</v>
      </c>
    </row>
    <row r="1404">
      <c r="A1404" s="23" t="s">
        <v>41</v>
      </c>
    </row>
    <row r="1405">
      <c r="A1405" s="23" t="s">
        <v>32</v>
      </c>
    </row>
    <row r="1406">
      <c r="A1406" s="23" t="s">
        <v>69</v>
      </c>
    </row>
    <row r="1407">
      <c r="A1407" s="23" t="s">
        <v>81</v>
      </c>
    </row>
    <row r="1408">
      <c r="A1408" s="23" t="s">
        <v>132</v>
      </c>
    </row>
    <row r="1409">
      <c r="A1409" s="23" t="s">
        <v>121</v>
      </c>
    </row>
    <row r="1410">
      <c r="A1410" s="23" t="s">
        <v>109</v>
      </c>
    </row>
    <row r="1411">
      <c r="A1411" s="23" t="s">
        <v>139</v>
      </c>
    </row>
    <row r="1412">
      <c r="A1412" s="23" t="s">
        <v>147</v>
      </c>
    </row>
    <row r="1413">
      <c r="A1413" s="23" t="s">
        <v>64</v>
      </c>
    </row>
    <row r="1414">
      <c r="A1414" s="23" t="s">
        <v>15</v>
      </c>
    </row>
    <row r="1415">
      <c r="A1415" s="23" t="s">
        <v>137</v>
      </c>
    </row>
    <row r="1416">
      <c r="A1416" s="23" t="s">
        <v>49</v>
      </c>
    </row>
    <row r="1417">
      <c r="A1417" s="23" t="s">
        <v>24</v>
      </c>
    </row>
    <row r="1418">
      <c r="A1418" s="23" t="s">
        <v>152</v>
      </c>
    </row>
    <row r="1419">
      <c r="A1419" s="23" t="s">
        <v>45</v>
      </c>
    </row>
    <row r="1420">
      <c r="A1420" s="23" t="s">
        <v>92</v>
      </c>
    </row>
    <row r="1421">
      <c r="A1421" s="23" t="s">
        <v>154</v>
      </c>
    </row>
    <row r="1422">
      <c r="A1422" s="23" t="s">
        <v>41</v>
      </c>
    </row>
    <row r="1423">
      <c r="A1423" s="23" t="s">
        <v>32</v>
      </c>
    </row>
    <row r="1424">
      <c r="A1424" s="23" t="s">
        <v>85</v>
      </c>
    </row>
    <row r="1425">
      <c r="A1425" s="23" t="s">
        <v>81</v>
      </c>
    </row>
    <row r="1426">
      <c r="A1426" s="23" t="s">
        <v>109</v>
      </c>
    </row>
    <row r="1427">
      <c r="A1427" s="23" t="s">
        <v>160</v>
      </c>
    </row>
    <row r="1428">
      <c r="A1428" s="23" t="s">
        <v>139</v>
      </c>
    </row>
    <row r="1429">
      <c r="A1429" s="23" t="s">
        <v>147</v>
      </c>
    </row>
    <row r="1430">
      <c r="A1430" s="23" t="s">
        <v>64</v>
      </c>
    </row>
    <row r="1431">
      <c r="A1431" s="23" t="s">
        <v>49</v>
      </c>
    </row>
    <row r="1432">
      <c r="A1432" s="23" t="s">
        <v>24</v>
      </c>
    </row>
    <row r="1433">
      <c r="A1433" s="23" t="s">
        <v>152</v>
      </c>
    </row>
    <row r="1434">
      <c r="A1434" s="23" t="s">
        <v>45</v>
      </c>
    </row>
    <row r="1435">
      <c r="A1435" s="23" t="s">
        <v>92</v>
      </c>
    </row>
    <row r="1436">
      <c r="A1436" s="23" t="s">
        <v>154</v>
      </c>
    </row>
    <row r="1437">
      <c r="A1437" s="23" t="s">
        <v>41</v>
      </c>
    </row>
    <row r="1438">
      <c r="A1438" s="23" t="s">
        <v>32</v>
      </c>
    </row>
    <row r="1439">
      <c r="A1439" s="23" t="s">
        <v>85</v>
      </c>
    </row>
    <row r="1440">
      <c r="A1440" s="23" t="s">
        <v>81</v>
      </c>
    </row>
    <row r="1441">
      <c r="A1441" s="23" t="s">
        <v>121</v>
      </c>
    </row>
    <row r="1442">
      <c r="A1442" s="23" t="s">
        <v>160</v>
      </c>
    </row>
    <row r="1443">
      <c r="A1443" s="23" t="s">
        <v>139</v>
      </c>
    </row>
    <row r="1444">
      <c r="A1444" s="23" t="s">
        <v>147</v>
      </c>
    </row>
    <row r="1445">
      <c r="A1445" s="23" t="s">
        <v>64</v>
      </c>
    </row>
    <row r="1446">
      <c r="A1446" s="23" t="s">
        <v>49</v>
      </c>
    </row>
    <row r="1447">
      <c r="A1447" s="23" t="s">
        <v>45</v>
      </c>
    </row>
    <row r="1448">
      <c r="A1448" s="23" t="s">
        <v>92</v>
      </c>
    </row>
    <row r="1449">
      <c r="A1449" s="23" t="s">
        <v>47</v>
      </c>
    </row>
    <row r="1450">
      <c r="A1450" s="23" t="s">
        <v>85</v>
      </c>
    </row>
    <row r="1451">
      <c r="A1451" s="23" t="s">
        <v>132</v>
      </c>
    </row>
    <row r="1452">
      <c r="A1452" s="23" t="s">
        <v>135</v>
      </c>
    </row>
    <row r="1453">
      <c r="A1453" s="23" t="s">
        <v>139</v>
      </c>
    </row>
    <row r="1454">
      <c r="A1454" s="23" t="s">
        <v>147</v>
      </c>
    </row>
    <row r="1455">
      <c r="A1455" s="23" t="s">
        <v>24</v>
      </c>
    </row>
    <row r="1456">
      <c r="A1456" s="23" t="s">
        <v>45</v>
      </c>
    </row>
    <row r="1457">
      <c r="A1457" s="23" t="s">
        <v>47</v>
      </c>
    </row>
    <row r="1458">
      <c r="A1458" s="23" t="s">
        <v>85</v>
      </c>
    </row>
    <row r="1459">
      <c r="A1459" s="23" t="s">
        <v>132</v>
      </c>
    </row>
    <row r="1460">
      <c r="A1460" s="23" t="s">
        <v>121</v>
      </c>
    </row>
    <row r="1461">
      <c r="A1461" s="23" t="s">
        <v>135</v>
      </c>
    </row>
    <row r="1462">
      <c r="A1462" s="23" t="s">
        <v>139</v>
      </c>
    </row>
    <row r="1463">
      <c r="A1463" s="23" t="s">
        <v>26</v>
      </c>
    </row>
    <row r="1464">
      <c r="A1464" s="23" t="s">
        <v>92</v>
      </c>
    </row>
    <row r="1465">
      <c r="A1465" s="23" t="s">
        <v>47</v>
      </c>
    </row>
    <row r="1466">
      <c r="A1466" s="23" t="s">
        <v>85</v>
      </c>
    </row>
    <row r="1467">
      <c r="A1467" s="23" t="s">
        <v>132</v>
      </c>
    </row>
    <row r="1468">
      <c r="A1468" s="23" t="s">
        <v>135</v>
      </c>
    </row>
    <row r="1469">
      <c r="A1469" s="23" t="s">
        <v>139</v>
      </c>
    </row>
    <row r="1470">
      <c r="A1470" s="23" t="s">
        <v>163</v>
      </c>
    </row>
    <row r="1471">
      <c r="A1471" s="23" t="s">
        <v>85</v>
      </c>
    </row>
    <row r="1472">
      <c r="A1472" s="23" t="s">
        <v>69</v>
      </c>
    </row>
    <row r="1473">
      <c r="A1473" s="23" t="s">
        <v>160</v>
      </c>
    </row>
    <row r="1474">
      <c r="A1474" s="23" t="s">
        <v>152</v>
      </c>
    </row>
    <row r="1475">
      <c r="A1475" s="23" t="s">
        <v>45</v>
      </c>
    </row>
    <row r="1476">
      <c r="A1476" s="23" t="s">
        <v>85</v>
      </c>
    </row>
    <row r="1477">
      <c r="A1477" s="23" t="s">
        <v>69</v>
      </c>
    </row>
    <row r="1478">
      <c r="A1478" s="23" t="s">
        <v>12</v>
      </c>
    </row>
    <row r="1479">
      <c r="A1479" s="23" t="s">
        <v>28</v>
      </c>
    </row>
    <row r="1480">
      <c r="A1480" s="23" t="s">
        <v>163</v>
      </c>
    </row>
    <row r="1481">
      <c r="A1481" s="23" t="s">
        <v>152</v>
      </c>
    </row>
    <row r="1482">
      <c r="A1482" s="23" t="s">
        <v>45</v>
      </c>
    </row>
    <row r="1483">
      <c r="A1483" s="23" t="s">
        <v>12</v>
      </c>
    </row>
    <row r="1484">
      <c r="A1484" s="23" t="s">
        <v>139</v>
      </c>
    </row>
    <row r="1485">
      <c r="A1485" s="23" t="s">
        <v>28</v>
      </c>
    </row>
    <row r="1486">
      <c r="A1486" s="23" t="s">
        <v>163</v>
      </c>
    </row>
    <row r="1487">
      <c r="A1487" s="23" t="s">
        <v>152</v>
      </c>
    </row>
    <row r="1488">
      <c r="A1488" s="23" t="s">
        <v>45</v>
      </c>
    </row>
    <row r="1489">
      <c r="A1489" s="23" t="s">
        <v>69</v>
      </c>
    </row>
    <row r="1490">
      <c r="A1490" s="23" t="s">
        <v>160</v>
      </c>
    </row>
    <row r="1491">
      <c r="A1491" s="23" t="s">
        <v>12</v>
      </c>
    </row>
    <row r="1492">
      <c r="A1492" s="23" t="s">
        <v>139</v>
      </c>
    </row>
    <row r="1493">
      <c r="A1493" s="23" t="s">
        <v>28</v>
      </c>
    </row>
    <row r="1494">
      <c r="A1494" s="23" t="s">
        <v>49</v>
      </c>
    </row>
    <row r="1495">
      <c r="A1495" s="23" t="s">
        <v>163</v>
      </c>
    </row>
    <row r="1496">
      <c r="A1496" s="23" t="s">
        <v>152</v>
      </c>
    </row>
    <row r="1497">
      <c r="A1497" s="23" t="s">
        <v>45</v>
      </c>
    </row>
    <row r="1498">
      <c r="A1498" s="23" t="s">
        <v>77</v>
      </c>
    </row>
    <row r="1499">
      <c r="A1499" s="23" t="s">
        <v>69</v>
      </c>
    </row>
    <row r="1500">
      <c r="A1500" s="23" t="s">
        <v>160</v>
      </c>
    </row>
    <row r="1501">
      <c r="A1501" s="23" t="s">
        <v>147</v>
      </c>
    </row>
    <row r="1502">
      <c r="A1502" s="23" t="s">
        <v>26</v>
      </c>
    </row>
    <row r="1503">
      <c r="A1503" s="23" t="s">
        <v>28</v>
      </c>
    </row>
    <row r="1504">
      <c r="A1504" s="23" t="s">
        <v>49</v>
      </c>
    </row>
    <row r="1505">
      <c r="A1505" s="23" t="s">
        <v>163</v>
      </c>
    </row>
    <row r="1506">
      <c r="A1506" s="23" t="s">
        <v>160</v>
      </c>
    </row>
    <row r="1507">
      <c r="A1507" s="23" t="s">
        <v>147</v>
      </c>
    </row>
    <row r="1508">
      <c r="A1508" s="23" t="s">
        <v>163</v>
      </c>
    </row>
    <row r="1509">
      <c r="A1509" s="23" t="s">
        <v>24</v>
      </c>
    </row>
    <row r="1510">
      <c r="A1510" s="23" t="s">
        <v>152</v>
      </c>
    </row>
    <row r="1511">
      <c r="A1511" s="23" t="s">
        <v>77</v>
      </c>
    </row>
    <row r="1512">
      <c r="A1512" s="23" t="s">
        <v>160</v>
      </c>
    </row>
    <row r="1513">
      <c r="A1513" s="23" t="s">
        <v>12</v>
      </c>
    </row>
    <row r="1514">
      <c r="A1514" s="23" t="s">
        <v>147</v>
      </c>
    </row>
    <row r="1515">
      <c r="A1515" s="23" t="s">
        <v>28</v>
      </c>
    </row>
    <row r="1516">
      <c r="A1516" s="23" t="s">
        <v>163</v>
      </c>
    </row>
    <row r="1517">
      <c r="A1517" s="23" t="s">
        <v>152</v>
      </c>
    </row>
    <row r="1518">
      <c r="A1518" s="23" t="s">
        <v>45</v>
      </c>
    </row>
    <row r="1519">
      <c r="A1519" s="23" t="s">
        <v>69</v>
      </c>
    </row>
    <row r="1520">
      <c r="A1520" s="23" t="s">
        <v>12</v>
      </c>
    </row>
    <row r="1521">
      <c r="A1521" s="23" t="s">
        <v>163</v>
      </c>
    </row>
    <row r="1522">
      <c r="A1522" s="23" t="s">
        <v>24</v>
      </c>
    </row>
    <row r="1523">
      <c r="A1523" s="23" t="s">
        <v>152</v>
      </c>
    </row>
    <row r="1524">
      <c r="A1524" s="23" t="s">
        <v>154</v>
      </c>
    </row>
    <row r="1525">
      <c r="A1525" s="23" t="s">
        <v>41</v>
      </c>
    </row>
    <row r="1526">
      <c r="A1526" s="23" t="s">
        <v>77</v>
      </c>
    </row>
    <row r="1527">
      <c r="A1527" s="23" t="s">
        <v>69</v>
      </c>
    </row>
    <row r="1528">
      <c r="A1528" s="23" t="s">
        <v>81</v>
      </c>
    </row>
    <row r="1529">
      <c r="A1529" s="23" t="s">
        <v>109</v>
      </c>
    </row>
    <row r="1530">
      <c r="A1530" s="23" t="s">
        <v>160</v>
      </c>
    </row>
    <row r="1531">
      <c r="A1531" s="23" t="s">
        <v>12</v>
      </c>
    </row>
    <row r="1532">
      <c r="A1532" s="23" t="s">
        <v>147</v>
      </c>
    </row>
    <row r="1533">
      <c r="A1533" s="23" t="s">
        <v>28</v>
      </c>
    </row>
    <row r="1534">
      <c r="A1534" s="23" t="s">
        <v>163</v>
      </c>
    </row>
    <row r="1535">
      <c r="A1535" s="23" t="s">
        <v>154</v>
      </c>
    </row>
    <row r="1536">
      <c r="A1536" s="23" t="s">
        <v>77</v>
      </c>
    </row>
    <row r="1537">
      <c r="A1537" s="23" t="s">
        <v>69</v>
      </c>
    </row>
    <row r="1538">
      <c r="A1538" s="23" t="s">
        <v>81</v>
      </c>
    </row>
    <row r="1539">
      <c r="A1539" s="23" t="s">
        <v>132</v>
      </c>
    </row>
    <row r="1540">
      <c r="A1540" s="23" t="s">
        <v>160</v>
      </c>
    </row>
    <row r="1541">
      <c r="A1541" s="23" t="s">
        <v>147</v>
      </c>
    </row>
    <row r="1542">
      <c r="A1542" s="23" t="s">
        <v>28</v>
      </c>
    </row>
    <row r="1543">
      <c r="A1543" s="23" t="s">
        <v>15</v>
      </c>
    </row>
    <row r="1544">
      <c r="A1544" s="23" t="s">
        <v>152</v>
      </c>
    </row>
    <row r="1545">
      <c r="A1545" s="23" t="s">
        <v>154</v>
      </c>
    </row>
    <row r="1546">
      <c r="A1546" s="23" t="s">
        <v>32</v>
      </c>
    </row>
    <row r="1547">
      <c r="A1547" s="23" t="s">
        <v>77</v>
      </c>
    </row>
    <row r="1548">
      <c r="A1548" s="23" t="s">
        <v>69</v>
      </c>
    </row>
    <row r="1549">
      <c r="A1549" s="23" t="s">
        <v>132</v>
      </c>
    </row>
    <row r="1550">
      <c r="A1550" s="23" t="s">
        <v>109</v>
      </c>
    </row>
    <row r="1551">
      <c r="A1551" s="23" t="s">
        <v>119</v>
      </c>
    </row>
    <row r="1552">
      <c r="A1552" s="23" t="s">
        <v>12</v>
      </c>
    </row>
    <row r="1553">
      <c r="A1553" s="23" t="s">
        <v>139</v>
      </c>
    </row>
    <row r="1554">
      <c r="A1554" s="23" t="s">
        <v>147</v>
      </c>
    </row>
    <row r="1555">
      <c r="A1555" s="23" t="s">
        <v>49</v>
      </c>
    </row>
    <row r="1556">
      <c r="A1556" s="23" t="s">
        <v>163</v>
      </c>
    </row>
    <row r="1557">
      <c r="A1557" s="23" t="s">
        <v>64</v>
      </c>
    </row>
    <row r="1558">
      <c r="A1558" s="23" t="s">
        <v>137</v>
      </c>
    </row>
    <row r="1559">
      <c r="A1559" s="23" t="s">
        <v>163</v>
      </c>
    </row>
    <row r="1560">
      <c r="A1560" s="23" t="s">
        <v>152</v>
      </c>
    </row>
    <row r="1561">
      <c r="A1561" s="23" t="s">
        <v>41</v>
      </c>
    </row>
    <row r="1562">
      <c r="A1562" s="23" t="s">
        <v>77</v>
      </c>
    </row>
    <row r="1563">
      <c r="A1563" s="23" t="s">
        <v>69</v>
      </c>
    </row>
    <row r="1564">
      <c r="A1564" s="23" t="s">
        <v>81</v>
      </c>
    </row>
    <row r="1565">
      <c r="A1565" s="23" t="s">
        <v>132</v>
      </c>
    </row>
    <row r="1566">
      <c r="A1566" s="23" t="s">
        <v>109</v>
      </c>
    </row>
    <row r="1567">
      <c r="A1567" s="23" t="s">
        <v>119</v>
      </c>
    </row>
    <row r="1568">
      <c r="A1568" s="23" t="s">
        <v>12</v>
      </c>
    </row>
    <row r="1569">
      <c r="A1569" s="23" t="s">
        <v>139</v>
      </c>
    </row>
    <row r="1570">
      <c r="A1570" s="23" t="s">
        <v>147</v>
      </c>
    </row>
    <row r="1571">
      <c r="A1571" s="23" t="s">
        <v>64</v>
      </c>
    </row>
    <row r="1572">
      <c r="A1572" s="23" t="s">
        <v>15</v>
      </c>
    </row>
    <row r="1573">
      <c r="A1573" s="23" t="s">
        <v>49</v>
      </c>
    </row>
    <row r="1574">
      <c r="A1574" s="23" t="s">
        <v>152</v>
      </c>
    </row>
    <row r="1575">
      <c r="A1575" s="23" t="s">
        <v>154</v>
      </c>
    </row>
    <row r="1576">
      <c r="A1576" s="23" t="s">
        <v>41</v>
      </c>
    </row>
    <row r="1577">
      <c r="A1577" s="23" t="s">
        <v>32</v>
      </c>
    </row>
    <row r="1578">
      <c r="A1578" s="23" t="s">
        <v>77</v>
      </c>
    </row>
    <row r="1579">
      <c r="A1579" s="23" t="s">
        <v>69</v>
      </c>
    </row>
    <row r="1580">
      <c r="A1580" s="23" t="s">
        <v>132</v>
      </c>
    </row>
    <row r="1581">
      <c r="A1581" s="23" t="s">
        <v>160</v>
      </c>
    </row>
    <row r="1582">
      <c r="A1582" s="23" t="s">
        <v>12</v>
      </c>
    </row>
    <row r="1583">
      <c r="A1583" s="23" t="s">
        <v>139</v>
      </c>
    </row>
    <row r="1584">
      <c r="A1584" s="23" t="s">
        <v>147</v>
      </c>
    </row>
    <row r="1585">
      <c r="A1585" s="23" t="s">
        <v>64</v>
      </c>
    </row>
    <row r="1586">
      <c r="A1586" s="23" t="s">
        <v>15</v>
      </c>
    </row>
    <row r="1587">
      <c r="A1587" s="23" t="s">
        <v>49</v>
      </c>
    </row>
    <row r="1588">
      <c r="A1588" s="23" t="s">
        <v>24</v>
      </c>
    </row>
    <row r="1589">
      <c r="A1589" s="23" t="s">
        <v>45</v>
      </c>
    </row>
    <row r="1590">
      <c r="A1590" s="23" t="s">
        <v>154</v>
      </c>
    </row>
    <row r="1591">
      <c r="A1591" s="23" t="s">
        <v>41</v>
      </c>
    </row>
    <row r="1592">
      <c r="A1592" s="23" t="s">
        <v>32</v>
      </c>
    </row>
    <row r="1593">
      <c r="A1593" s="23" t="s">
        <v>77</v>
      </c>
    </row>
    <row r="1594">
      <c r="A1594" s="23" t="s">
        <v>69</v>
      </c>
    </row>
    <row r="1595">
      <c r="A1595" s="23" t="s">
        <v>160</v>
      </c>
    </row>
    <row r="1596">
      <c r="A1596" s="23" t="s">
        <v>12</v>
      </c>
    </row>
    <row r="1597">
      <c r="A1597" s="23" t="s">
        <v>139</v>
      </c>
    </row>
    <row r="1598">
      <c r="A1598" s="23" t="s">
        <v>147</v>
      </c>
    </row>
    <row r="1599">
      <c r="A1599" s="23" t="s">
        <v>64</v>
      </c>
    </row>
    <row r="1600">
      <c r="A1600" s="23" t="s">
        <v>49</v>
      </c>
    </row>
    <row r="1601">
      <c r="A1601" s="23" t="s">
        <v>154</v>
      </c>
    </row>
    <row r="1602">
      <c r="A1602" s="23" t="s">
        <v>32</v>
      </c>
    </row>
    <row r="1603">
      <c r="A1603" s="23" t="s">
        <v>47</v>
      </c>
    </row>
    <row r="1604">
      <c r="A1604" s="23" t="s">
        <v>85</v>
      </c>
    </row>
    <row r="1605">
      <c r="A1605" s="23" t="s">
        <v>69</v>
      </c>
    </row>
    <row r="1606">
      <c r="A1606" s="23" t="s">
        <v>160</v>
      </c>
    </row>
    <row r="1607">
      <c r="A1607" s="23" t="s">
        <v>12</v>
      </c>
    </row>
    <row r="1608">
      <c r="A1608" s="23" t="s">
        <v>139</v>
      </c>
    </row>
    <row r="1609">
      <c r="A1609" s="23" t="s">
        <v>147</v>
      </c>
    </row>
    <row r="1610">
      <c r="A1610" s="23" t="s">
        <v>64</v>
      </c>
    </row>
    <row r="1611">
      <c r="A1611" s="23" t="s">
        <v>154</v>
      </c>
    </row>
    <row r="1612">
      <c r="A1612" s="23" t="s">
        <v>32</v>
      </c>
    </row>
    <row r="1613">
      <c r="A1613" s="23" t="s">
        <v>47</v>
      </c>
    </row>
    <row r="1614">
      <c r="A1614" s="23" t="s">
        <v>85</v>
      </c>
    </row>
    <row r="1615">
      <c r="A1615" s="23" t="s">
        <v>69</v>
      </c>
    </row>
    <row r="1616">
      <c r="A1616" s="23" t="s">
        <v>132</v>
      </c>
    </row>
    <row r="1617">
      <c r="A1617" s="23" t="s">
        <v>135</v>
      </c>
    </row>
    <row r="1618">
      <c r="A1618" s="23" t="s">
        <v>160</v>
      </c>
    </row>
    <row r="1619">
      <c r="A1619" s="23" t="s">
        <v>139</v>
      </c>
    </row>
    <row r="1620">
      <c r="A1620" s="23" t="s">
        <v>147</v>
      </c>
    </row>
    <row r="1621">
      <c r="A1621" s="23" t="s">
        <v>47</v>
      </c>
    </row>
    <row r="1622">
      <c r="A1622" s="23" t="s">
        <v>132</v>
      </c>
    </row>
    <row r="1623">
      <c r="A1623" s="23" t="s">
        <v>135</v>
      </c>
    </row>
    <row r="1624">
      <c r="A1624" s="23" t="s">
        <v>47</v>
      </c>
    </row>
    <row r="1625">
      <c r="A1625" s="23" t="s">
        <v>85</v>
      </c>
    </row>
    <row r="1626">
      <c r="A1626" s="23" t="s">
        <v>132</v>
      </c>
    </row>
    <row r="1627">
      <c r="A1627" s="23" t="s">
        <v>135</v>
      </c>
    </row>
    <row r="1628">
      <c r="A1628" s="23" t="s">
        <v>109</v>
      </c>
    </row>
    <row r="1629">
      <c r="A1629" s="23" t="s">
        <v>45</v>
      </c>
    </row>
    <row r="1630">
      <c r="A1630" s="23" t="s">
        <v>135</v>
      </c>
    </row>
    <row r="1631">
      <c r="A1631" s="23" t="s">
        <v>109</v>
      </c>
    </row>
    <row r="1632">
      <c r="A1632" s="23" t="s">
        <v>139</v>
      </c>
    </row>
    <row r="1633">
      <c r="A1633" s="23" t="s">
        <v>28</v>
      </c>
    </row>
    <row r="1634">
      <c r="A1634" s="23" t="s">
        <v>45</v>
      </c>
    </row>
    <row r="1635">
      <c r="A1635" s="23" t="s">
        <v>81</v>
      </c>
    </row>
    <row r="1636">
      <c r="A1636" s="23" t="s">
        <v>109</v>
      </c>
    </row>
    <row r="1637">
      <c r="A1637" s="23" t="s">
        <v>81</v>
      </c>
    </row>
    <row r="1638">
      <c r="A1638" s="23" t="s">
        <v>26</v>
      </c>
    </row>
    <row r="1639">
      <c r="A1639" s="23" t="s">
        <v>163</v>
      </c>
    </row>
    <row r="1640">
      <c r="A1640" s="23" t="s">
        <v>24</v>
      </c>
    </row>
    <row r="1641">
      <c r="A1641" s="23" t="s">
        <v>41</v>
      </c>
    </row>
    <row r="1642">
      <c r="A1642" s="23" t="s">
        <v>69</v>
      </c>
    </row>
    <row r="1643">
      <c r="A1643" s="23" t="s">
        <v>24</v>
      </c>
    </row>
    <row r="1644">
      <c r="A1644" s="23" t="s">
        <v>152</v>
      </c>
    </row>
    <row r="1645">
      <c r="A1645" s="23" t="s">
        <v>45</v>
      </c>
    </row>
    <row r="1646">
      <c r="A1646" s="23" t="s">
        <v>41</v>
      </c>
    </row>
    <row r="1647">
      <c r="A1647" s="23" t="s">
        <v>69</v>
      </c>
    </row>
    <row r="1648">
      <c r="A1648" s="23" t="s">
        <v>81</v>
      </c>
    </row>
    <row r="1649">
      <c r="A1649" s="23" t="s">
        <v>147</v>
      </c>
    </row>
    <row r="1650">
      <c r="A1650" s="23" t="s">
        <v>26</v>
      </c>
    </row>
    <row r="1651">
      <c r="A1651" s="23" t="s">
        <v>28</v>
      </c>
    </row>
    <row r="1652">
      <c r="A1652" s="23" t="s">
        <v>163</v>
      </c>
    </row>
    <row r="1653">
      <c r="A1653" s="23" t="s">
        <v>152</v>
      </c>
    </row>
    <row r="1654">
      <c r="A1654" s="23" t="s">
        <v>45</v>
      </c>
    </row>
    <row r="1655">
      <c r="A1655" s="23" t="s">
        <v>154</v>
      </c>
    </row>
    <row r="1656">
      <c r="A1656" s="23" t="s">
        <v>32</v>
      </c>
    </row>
    <row r="1657">
      <c r="A1657" s="23" t="s">
        <v>77</v>
      </c>
    </row>
    <row r="1658">
      <c r="A1658" s="23" t="s">
        <v>69</v>
      </c>
    </row>
    <row r="1659">
      <c r="A1659" s="23" t="s">
        <v>81</v>
      </c>
    </row>
    <row r="1660">
      <c r="A1660" s="23" t="s">
        <v>109</v>
      </c>
    </row>
    <row r="1661">
      <c r="A1661" s="23" t="s">
        <v>160</v>
      </c>
    </row>
    <row r="1662">
      <c r="A1662" s="23" t="s">
        <v>26</v>
      </c>
    </row>
    <row r="1663">
      <c r="A1663" s="23" t="s">
        <v>49</v>
      </c>
    </row>
    <row r="1664">
      <c r="A1664" s="23" t="s">
        <v>163</v>
      </c>
    </row>
    <row r="1665">
      <c r="A1665" s="23" t="s">
        <v>24</v>
      </c>
    </row>
    <row r="1666">
      <c r="A1666" s="23" t="s">
        <v>154</v>
      </c>
    </row>
    <row r="1667">
      <c r="A1667" s="23" t="s">
        <v>41</v>
      </c>
    </row>
    <row r="1668">
      <c r="A1668" s="23" t="s">
        <v>77</v>
      </c>
    </row>
    <row r="1669">
      <c r="A1669" s="23" t="s">
        <v>160</v>
      </c>
    </row>
    <row r="1670">
      <c r="A1670" s="23" t="s">
        <v>139</v>
      </c>
    </row>
    <row r="1671">
      <c r="A1671" s="23" t="s">
        <v>163</v>
      </c>
    </row>
    <row r="1672">
      <c r="A1672" s="23" t="s">
        <v>41</v>
      </c>
    </row>
    <row r="1673">
      <c r="A1673" s="23" t="s">
        <v>132</v>
      </c>
    </row>
    <row r="1674">
      <c r="A1674" s="23" t="s">
        <v>109</v>
      </c>
    </row>
    <row r="1675">
      <c r="A1675" s="23" t="s">
        <v>160</v>
      </c>
    </row>
    <row r="1676">
      <c r="A1676" s="23" t="s">
        <v>12</v>
      </c>
    </row>
    <row r="1677">
      <c r="A1677" s="23" t="s">
        <v>139</v>
      </c>
    </row>
    <row r="1678">
      <c r="A1678" s="23" t="s">
        <v>28</v>
      </c>
    </row>
    <row r="1679">
      <c r="A1679" s="23" t="s">
        <v>163</v>
      </c>
    </row>
    <row r="1680">
      <c r="A1680" s="23" t="s">
        <v>24</v>
      </c>
    </row>
    <row r="1681">
      <c r="A1681" s="23" t="s">
        <v>41</v>
      </c>
    </row>
    <row r="1682">
      <c r="A1682" s="23" t="s">
        <v>81</v>
      </c>
    </row>
    <row r="1683">
      <c r="A1683" s="23" t="s">
        <v>132</v>
      </c>
    </row>
    <row r="1684">
      <c r="A1684" s="23" t="s">
        <v>12</v>
      </c>
    </row>
    <row r="1685">
      <c r="A1685" s="23" t="s">
        <v>139</v>
      </c>
    </row>
    <row r="1686">
      <c r="A1686" s="23" t="s">
        <v>28</v>
      </c>
    </row>
    <row r="1687">
      <c r="A1687" s="23" t="s">
        <v>163</v>
      </c>
    </row>
    <row r="1688">
      <c r="A1688" s="23" t="s">
        <v>24</v>
      </c>
    </row>
    <row r="1689">
      <c r="A1689" s="23" t="s">
        <v>152</v>
      </c>
    </row>
    <row r="1690">
      <c r="A1690" s="23" t="s">
        <v>45</v>
      </c>
    </row>
    <row r="1691">
      <c r="A1691" s="23" t="s">
        <v>154</v>
      </c>
    </row>
    <row r="1692">
      <c r="A1692" s="23" t="s">
        <v>41</v>
      </c>
    </row>
    <row r="1693">
      <c r="A1693" s="23" t="s">
        <v>32</v>
      </c>
    </row>
    <row r="1694">
      <c r="A1694" s="23" t="s">
        <v>132</v>
      </c>
    </row>
    <row r="1695">
      <c r="A1695" s="23" t="s">
        <v>109</v>
      </c>
    </row>
    <row r="1696">
      <c r="A1696" s="23" t="s">
        <v>119</v>
      </c>
    </row>
    <row r="1697">
      <c r="A1697" s="23" t="s">
        <v>12</v>
      </c>
    </row>
    <row r="1698">
      <c r="A1698" s="23" t="s">
        <v>139</v>
      </c>
    </row>
    <row r="1699">
      <c r="A1699" s="23" t="s">
        <v>147</v>
      </c>
    </row>
    <row r="1700">
      <c r="A1700" s="23" t="s">
        <v>64</v>
      </c>
    </row>
    <row r="1701">
      <c r="A1701" s="23" t="s">
        <v>28</v>
      </c>
    </row>
    <row r="1702">
      <c r="A1702" s="23" t="s">
        <v>49</v>
      </c>
    </row>
    <row r="1703">
      <c r="A1703" s="23" t="s">
        <v>152</v>
      </c>
    </row>
    <row r="1704">
      <c r="A1704" s="23" t="s">
        <v>45</v>
      </c>
    </row>
    <row r="1705">
      <c r="A1705" s="23" t="s">
        <v>41</v>
      </c>
    </row>
    <row r="1706">
      <c r="A1706" s="23" t="s">
        <v>32</v>
      </c>
    </row>
    <row r="1707">
      <c r="A1707" s="23" t="s">
        <v>81</v>
      </c>
    </row>
    <row r="1708">
      <c r="A1708" s="23" t="s">
        <v>132</v>
      </c>
    </row>
    <row r="1709">
      <c r="A1709" s="23" t="s">
        <v>109</v>
      </c>
    </row>
    <row r="1710">
      <c r="A1710" s="23" t="s">
        <v>119</v>
      </c>
    </row>
    <row r="1711">
      <c r="A1711" s="23" t="s">
        <v>12</v>
      </c>
    </row>
    <row r="1712">
      <c r="A1712" s="23" t="s">
        <v>139</v>
      </c>
    </row>
    <row r="1713">
      <c r="A1713" s="23" t="s">
        <v>147</v>
      </c>
    </row>
    <row r="1714">
      <c r="A1714" s="23" t="s">
        <v>64</v>
      </c>
    </row>
    <row r="1715">
      <c r="A1715" s="23" t="s">
        <v>49</v>
      </c>
    </row>
    <row r="1716">
      <c r="A1716" s="23" t="s">
        <v>62</v>
      </c>
    </row>
    <row r="1717">
      <c r="A1717" s="23" t="s">
        <v>24</v>
      </c>
    </row>
    <row r="1718">
      <c r="A1718" s="23" t="s">
        <v>45</v>
      </c>
    </row>
    <row r="1719">
      <c r="A1719" s="23" t="s">
        <v>154</v>
      </c>
    </row>
    <row r="1720">
      <c r="A1720" s="23" t="s">
        <v>41</v>
      </c>
    </row>
    <row r="1721">
      <c r="A1721" s="23" t="s">
        <v>32</v>
      </c>
    </row>
    <row r="1722">
      <c r="A1722" s="23" t="s">
        <v>43</v>
      </c>
    </row>
    <row r="1723">
      <c r="A1723" s="23" t="s">
        <v>158</v>
      </c>
    </row>
    <row r="1724">
      <c r="A1724" s="23" t="s">
        <v>30</v>
      </c>
    </row>
    <row r="1725">
      <c r="A1725" s="23" t="s">
        <v>81</v>
      </c>
    </row>
    <row r="1726">
      <c r="A1726" s="23" t="s">
        <v>132</v>
      </c>
    </row>
    <row r="1727">
      <c r="A1727" s="23" t="s">
        <v>109</v>
      </c>
    </row>
    <row r="1728">
      <c r="A1728" s="23" t="s">
        <v>139</v>
      </c>
    </row>
    <row r="1729">
      <c r="A1729" s="23" t="s">
        <v>147</v>
      </c>
    </row>
    <row r="1730">
      <c r="A1730" s="23" t="s">
        <v>64</v>
      </c>
    </row>
    <row r="1731">
      <c r="A1731" s="23" t="s">
        <v>28</v>
      </c>
    </row>
    <row r="1732">
      <c r="A1732" s="23" t="s">
        <v>15</v>
      </c>
    </row>
    <row r="1733">
      <c r="A1733" s="23" t="s">
        <v>49</v>
      </c>
    </row>
    <row r="1734">
      <c r="A1734" s="23" t="s">
        <v>62</v>
      </c>
    </row>
    <row r="1735">
      <c r="A1735" s="23" t="s">
        <v>24</v>
      </c>
    </row>
    <row r="1736">
      <c r="A1736" s="23" t="s">
        <v>45</v>
      </c>
    </row>
    <row r="1737">
      <c r="A1737" s="23" t="s">
        <v>154</v>
      </c>
    </row>
    <row r="1738">
      <c r="A1738" s="23" t="s">
        <v>32</v>
      </c>
    </row>
    <row r="1739">
      <c r="A1739" s="23" t="s">
        <v>43</v>
      </c>
    </row>
    <row r="1740">
      <c r="A1740" s="23" t="s">
        <v>30</v>
      </c>
    </row>
    <row r="1741">
      <c r="A1741" s="23" t="s">
        <v>85</v>
      </c>
    </row>
    <row r="1742">
      <c r="A1742" s="23" t="s">
        <v>81</v>
      </c>
    </row>
    <row r="1743">
      <c r="A1743" s="23" t="s">
        <v>132</v>
      </c>
    </row>
    <row r="1744">
      <c r="A1744" s="23" t="s">
        <v>135</v>
      </c>
    </row>
    <row r="1745">
      <c r="A1745" s="23" t="s">
        <v>109</v>
      </c>
    </row>
    <row r="1746">
      <c r="A1746" s="23" t="s">
        <v>160</v>
      </c>
    </row>
    <row r="1747">
      <c r="A1747" s="23" t="s">
        <v>139</v>
      </c>
    </row>
    <row r="1748">
      <c r="A1748" s="23" t="s">
        <v>147</v>
      </c>
    </row>
    <row r="1749">
      <c r="A1749" s="23" t="s">
        <v>64</v>
      </c>
    </row>
    <row r="1750">
      <c r="A1750" s="23" t="s">
        <v>28</v>
      </c>
    </row>
    <row r="1751">
      <c r="A1751" s="23" t="s">
        <v>15</v>
      </c>
    </row>
    <row r="1752">
      <c r="A1752" s="23" t="s">
        <v>49</v>
      </c>
    </row>
    <row r="1753">
      <c r="A1753" s="23" t="s">
        <v>62</v>
      </c>
    </row>
    <row r="1754">
      <c r="A1754" s="23" t="s">
        <v>24</v>
      </c>
    </row>
    <row r="1755">
      <c r="A1755" s="23" t="s">
        <v>154</v>
      </c>
    </row>
    <row r="1756">
      <c r="A1756" s="23" t="s">
        <v>32</v>
      </c>
    </row>
    <row r="1757">
      <c r="A1757" s="23" t="s">
        <v>43</v>
      </c>
    </row>
    <row r="1758">
      <c r="A1758" s="23" t="s">
        <v>47</v>
      </c>
    </row>
    <row r="1759">
      <c r="A1759" s="23" t="s">
        <v>30</v>
      </c>
    </row>
    <row r="1760">
      <c r="A1760" s="23" t="s">
        <v>85</v>
      </c>
    </row>
    <row r="1761">
      <c r="A1761" s="23" t="s">
        <v>135</v>
      </c>
    </row>
    <row r="1762">
      <c r="A1762" s="23" t="s">
        <v>160</v>
      </c>
    </row>
    <row r="1763">
      <c r="A1763" s="23" t="s">
        <v>139</v>
      </c>
    </row>
    <row r="1764">
      <c r="A1764" s="23" t="s">
        <v>26</v>
      </c>
    </row>
    <row r="1765">
      <c r="A1765" s="23" t="s">
        <v>17</v>
      </c>
    </row>
    <row r="1766">
      <c r="A1766" s="23" t="s">
        <v>62</v>
      </c>
    </row>
    <row r="1767">
      <c r="A1767" s="23" t="s">
        <v>163</v>
      </c>
    </row>
    <row r="1768">
      <c r="A1768" s="23" t="s">
        <v>158</v>
      </c>
    </row>
    <row r="1769">
      <c r="A1769" s="23" t="s">
        <v>85</v>
      </c>
    </row>
    <row r="1770">
      <c r="A1770" s="23" t="s">
        <v>69</v>
      </c>
    </row>
    <row r="1771">
      <c r="A1771" s="23" t="s">
        <v>135</v>
      </c>
    </row>
    <row r="1772">
      <c r="A1772" s="23" t="s">
        <v>119</v>
      </c>
    </row>
    <row r="1773">
      <c r="A1773" s="23" t="s">
        <v>139</v>
      </c>
    </row>
    <row r="1774">
      <c r="A1774" s="23" t="s">
        <v>28</v>
      </c>
    </row>
    <row r="1775">
      <c r="A1775" s="23" t="s">
        <v>45</v>
      </c>
    </row>
    <row r="1776">
      <c r="A1776" s="23" t="s">
        <v>21</v>
      </c>
    </row>
    <row r="1777">
      <c r="A1777" s="23" t="s">
        <v>85</v>
      </c>
    </row>
    <row r="1778">
      <c r="A1778" s="23" t="s">
        <v>69</v>
      </c>
    </row>
    <row r="1779">
      <c r="A1779" s="23" t="s">
        <v>119</v>
      </c>
    </row>
    <row r="1780">
      <c r="A1780" s="23" t="s">
        <v>139</v>
      </c>
    </row>
    <row r="1781">
      <c r="A1781" s="23" t="s">
        <v>147</v>
      </c>
    </row>
    <row r="1782">
      <c r="A1782" s="23" t="s">
        <v>28</v>
      </c>
    </row>
    <row r="1783">
      <c r="A1783" s="23" t="s">
        <v>152</v>
      </c>
    </row>
    <row r="1784">
      <c r="A1784" s="23" t="s">
        <v>45</v>
      </c>
    </row>
    <row r="1785">
      <c r="A1785" s="23" t="s">
        <v>41</v>
      </c>
    </row>
    <row r="1786">
      <c r="A1786" s="23" t="s">
        <v>32</v>
      </c>
    </row>
    <row r="1787">
      <c r="A1787" s="23" t="s">
        <v>43</v>
      </c>
    </row>
    <row r="1788">
      <c r="A1788" s="23" t="s">
        <v>158</v>
      </c>
    </row>
    <row r="1789">
      <c r="A1789" s="23" t="s">
        <v>69</v>
      </c>
    </row>
    <row r="1790">
      <c r="A1790" s="23" t="s">
        <v>119</v>
      </c>
    </row>
    <row r="1791">
      <c r="A1791" s="23" t="s">
        <v>139</v>
      </c>
    </row>
    <row r="1792">
      <c r="A1792" s="23" t="s">
        <v>147</v>
      </c>
    </row>
    <row r="1793">
      <c r="A1793" s="23" t="s">
        <v>26</v>
      </c>
    </row>
    <row r="1794">
      <c r="A1794" s="23" t="s">
        <v>28</v>
      </c>
    </row>
    <row r="1795">
      <c r="A1795" s="23" t="s">
        <v>17</v>
      </c>
    </row>
    <row r="1796">
      <c r="A1796" s="23" t="s">
        <v>15</v>
      </c>
    </row>
    <row r="1797">
      <c r="A1797" s="23" t="s">
        <v>62</v>
      </c>
    </row>
    <row r="1798">
      <c r="A1798" s="23" t="s">
        <v>163</v>
      </c>
    </row>
    <row r="1799">
      <c r="A1799" s="23" t="s">
        <v>152</v>
      </c>
    </row>
    <row r="1800">
      <c r="A1800" s="23" t="s">
        <v>45</v>
      </c>
    </row>
    <row r="1801">
      <c r="A1801" s="23" t="s">
        <v>41</v>
      </c>
    </row>
    <row r="1802">
      <c r="A1802" s="23" t="s">
        <v>32</v>
      </c>
    </row>
    <row r="1803">
      <c r="A1803" s="23" t="s">
        <v>43</v>
      </c>
    </row>
    <row r="1804">
      <c r="A1804" s="23" t="s">
        <v>69</v>
      </c>
    </row>
    <row r="1805">
      <c r="A1805" s="23" t="s">
        <v>160</v>
      </c>
    </row>
    <row r="1806">
      <c r="A1806" s="23" t="s">
        <v>139</v>
      </c>
    </row>
    <row r="1807">
      <c r="A1807" s="23" t="s">
        <v>147</v>
      </c>
    </row>
    <row r="1808">
      <c r="A1808" s="23" t="s">
        <v>26</v>
      </c>
    </row>
    <row r="1809">
      <c r="A1809" s="23" t="s">
        <v>28</v>
      </c>
    </row>
    <row r="1810">
      <c r="A1810" s="23" t="s">
        <v>15</v>
      </c>
    </row>
    <row r="1811">
      <c r="A1811" s="23" t="s">
        <v>62</v>
      </c>
    </row>
    <row r="1812">
      <c r="A1812" s="23" t="s">
        <v>152</v>
      </c>
    </row>
    <row r="1813">
      <c r="A1813" s="23" t="s">
        <v>43</v>
      </c>
    </row>
    <row r="1814">
      <c r="A1814" s="23" t="s">
        <v>77</v>
      </c>
    </row>
    <row r="1815">
      <c r="A1815" s="23" t="s">
        <v>34</v>
      </c>
    </row>
    <row r="1816">
      <c r="A1816" s="23" t="s">
        <v>41</v>
      </c>
    </row>
    <row r="1817">
      <c r="A1817" s="23" t="s">
        <v>32</v>
      </c>
    </row>
    <row r="1818">
      <c r="A1818" s="23" t="s">
        <v>158</v>
      </c>
    </row>
    <row r="1819">
      <c r="A1819" s="23" t="s">
        <v>69</v>
      </c>
    </row>
    <row r="1820">
      <c r="A1820" s="23" t="s">
        <v>160</v>
      </c>
    </row>
    <row r="1821">
      <c r="A1821" s="23" t="s">
        <v>147</v>
      </c>
    </row>
    <row r="1822">
      <c r="A1822" s="23" t="s">
        <v>26</v>
      </c>
    </row>
    <row r="1823">
      <c r="A1823" s="23" t="s">
        <v>15</v>
      </c>
    </row>
    <row r="1824">
      <c r="A1824" s="23" t="s">
        <v>163</v>
      </c>
    </row>
    <row r="1825">
      <c r="A1825" s="23" t="s">
        <v>41</v>
      </c>
    </row>
    <row r="1826">
      <c r="A1826" s="23" t="s">
        <v>158</v>
      </c>
    </row>
    <row r="1827">
      <c r="A1827" s="23" t="s">
        <v>77</v>
      </c>
    </row>
    <row r="1828">
      <c r="A1828" s="23" t="s">
        <v>69</v>
      </c>
    </row>
    <row r="1829">
      <c r="A1829" s="23" t="s">
        <v>81</v>
      </c>
    </row>
    <row r="1830">
      <c r="A1830" s="23" t="s">
        <v>109</v>
      </c>
    </row>
    <row r="1831">
      <c r="A1831" s="23" t="s">
        <v>160</v>
      </c>
    </row>
    <row r="1832">
      <c r="A1832" s="23" t="s">
        <v>28</v>
      </c>
    </row>
    <row r="1833">
      <c r="A1833" s="23" t="s">
        <v>17</v>
      </c>
    </row>
    <row r="1834">
      <c r="A1834" s="23" t="s">
        <v>15</v>
      </c>
    </row>
    <row r="1835">
      <c r="A1835" s="23" t="s">
        <v>163</v>
      </c>
    </row>
    <row r="1836">
      <c r="A1836" s="23" t="s">
        <v>24</v>
      </c>
    </row>
    <row r="1837">
      <c r="A1837" s="23" t="s">
        <v>45</v>
      </c>
    </row>
    <row r="1838">
      <c r="A1838" s="23" t="s">
        <v>41</v>
      </c>
    </row>
    <row r="1839">
      <c r="A1839" s="23" t="s">
        <v>43</v>
      </c>
    </row>
    <row r="1840">
      <c r="A1840" s="23" t="s">
        <v>158</v>
      </c>
    </row>
    <row r="1841">
      <c r="A1841" s="23" t="s">
        <v>77</v>
      </c>
    </row>
    <row r="1842">
      <c r="A1842" s="23" t="s">
        <v>69</v>
      </c>
    </row>
    <row r="1843">
      <c r="A1843" s="23" t="s">
        <v>109</v>
      </c>
    </row>
    <row r="1844">
      <c r="A1844" s="23" t="s">
        <v>160</v>
      </c>
    </row>
    <row r="1845">
      <c r="A1845" s="23" t="s">
        <v>147</v>
      </c>
    </row>
    <row r="1846">
      <c r="A1846" s="23" t="s">
        <v>28</v>
      </c>
    </row>
    <row r="1847">
      <c r="A1847" s="23" t="s">
        <v>137</v>
      </c>
    </row>
    <row r="1848">
      <c r="A1848" s="23" t="s">
        <v>163</v>
      </c>
    </row>
    <row r="1849">
      <c r="A1849" s="23" t="s">
        <v>45</v>
      </c>
    </row>
    <row r="1850">
      <c r="A1850" s="23" t="s">
        <v>41</v>
      </c>
    </row>
    <row r="1851">
      <c r="A1851" s="23" t="s">
        <v>32</v>
      </c>
    </row>
    <row r="1852">
      <c r="A1852" s="23" t="s">
        <v>43</v>
      </c>
    </row>
    <row r="1853">
      <c r="A1853" s="23" t="s">
        <v>77</v>
      </c>
    </row>
    <row r="1854">
      <c r="A1854" s="23" t="s">
        <v>81</v>
      </c>
    </row>
    <row r="1855">
      <c r="A1855" s="23" t="s">
        <v>109</v>
      </c>
    </row>
    <row r="1856">
      <c r="A1856" s="23" t="s">
        <v>160</v>
      </c>
    </row>
    <row r="1857">
      <c r="A1857" s="23" t="s">
        <v>12</v>
      </c>
    </row>
    <row r="1858">
      <c r="A1858" s="23" t="s">
        <v>147</v>
      </c>
    </row>
    <row r="1859">
      <c r="A1859" s="23" t="s">
        <v>137</v>
      </c>
    </row>
    <row r="1860">
      <c r="A1860" s="23" t="s">
        <v>62</v>
      </c>
    </row>
    <row r="1861">
      <c r="A1861" s="23" t="s">
        <v>163</v>
      </c>
    </row>
    <row r="1862">
      <c r="A1862" s="23" t="s">
        <v>152</v>
      </c>
    </row>
    <row r="1863">
      <c r="A1863" s="23" t="s">
        <v>41</v>
      </c>
    </row>
    <row r="1864">
      <c r="A1864" s="23" t="s">
        <v>32</v>
      </c>
    </row>
    <row r="1865">
      <c r="A1865" s="23" t="s">
        <v>43</v>
      </c>
    </row>
    <row r="1866">
      <c r="A1866" s="23" t="s">
        <v>158</v>
      </c>
    </row>
    <row r="1867">
      <c r="A1867" s="23" t="s">
        <v>30</v>
      </c>
    </row>
    <row r="1868">
      <c r="A1868" s="23" t="s">
        <v>77</v>
      </c>
    </row>
    <row r="1869">
      <c r="A1869" s="23" t="s">
        <v>81</v>
      </c>
    </row>
    <row r="1870">
      <c r="A1870" s="23" t="s">
        <v>135</v>
      </c>
    </row>
    <row r="1871">
      <c r="A1871" s="23" t="s">
        <v>109</v>
      </c>
    </row>
    <row r="1872">
      <c r="A1872" s="23" t="s">
        <v>160</v>
      </c>
    </row>
    <row r="1873">
      <c r="A1873" s="23" t="s">
        <v>12</v>
      </c>
    </row>
    <row r="1874">
      <c r="A1874" s="23" t="s">
        <v>139</v>
      </c>
    </row>
    <row r="1875">
      <c r="A1875" s="23" t="s">
        <v>147</v>
      </c>
    </row>
    <row r="1876">
      <c r="A1876" s="23" t="s">
        <v>137</v>
      </c>
    </row>
    <row r="1877">
      <c r="A1877" s="23" t="s">
        <v>62</v>
      </c>
    </row>
    <row r="1878">
      <c r="A1878" s="23" t="s">
        <v>163</v>
      </c>
    </row>
    <row r="1879">
      <c r="A1879" s="23" t="s">
        <v>152</v>
      </c>
    </row>
    <row r="1880">
      <c r="A1880" s="23" t="s">
        <v>45</v>
      </c>
    </row>
    <row r="1881">
      <c r="A1881" s="23" t="s">
        <v>154</v>
      </c>
    </row>
    <row r="1882">
      <c r="A1882" s="23" t="s">
        <v>32</v>
      </c>
    </row>
    <row r="1883">
      <c r="A1883" s="23" t="s">
        <v>43</v>
      </c>
    </row>
    <row r="1884">
      <c r="A1884" s="23" t="s">
        <v>158</v>
      </c>
    </row>
    <row r="1885">
      <c r="A1885" s="23" t="s">
        <v>77</v>
      </c>
    </row>
    <row r="1886">
      <c r="A1886" s="23" t="s">
        <v>69</v>
      </c>
    </row>
    <row r="1887">
      <c r="A1887" s="23" t="s">
        <v>132</v>
      </c>
    </row>
    <row r="1888">
      <c r="A1888" s="23" t="s">
        <v>34</v>
      </c>
    </row>
    <row r="1889">
      <c r="A1889" s="23" t="s">
        <v>12</v>
      </c>
    </row>
    <row r="1890">
      <c r="A1890" s="23" t="s">
        <v>139</v>
      </c>
    </row>
    <row r="1891">
      <c r="A1891" s="23" t="s">
        <v>147</v>
      </c>
    </row>
    <row r="1892">
      <c r="A1892" s="23" t="s">
        <v>64</v>
      </c>
    </row>
    <row r="1893">
      <c r="A1893" s="23" t="s">
        <v>28</v>
      </c>
    </row>
    <row r="1894">
      <c r="A1894" s="23" t="s">
        <v>152</v>
      </c>
    </row>
    <row r="1895">
      <c r="A1895" s="23" t="s">
        <v>45</v>
      </c>
    </row>
    <row r="1896">
      <c r="A1896" s="23" t="s">
        <v>92</v>
      </c>
    </row>
    <row r="1897">
      <c r="A1897" s="23" t="s">
        <v>154</v>
      </c>
    </row>
    <row r="1898">
      <c r="A1898" s="23" t="s">
        <v>43</v>
      </c>
    </row>
    <row r="1899">
      <c r="A1899" s="23" t="s">
        <v>158</v>
      </c>
    </row>
    <row r="1900">
      <c r="A1900" s="23" t="s">
        <v>113</v>
      </c>
    </row>
    <row r="1901">
      <c r="A1901" s="23" t="s">
        <v>30</v>
      </c>
    </row>
    <row r="1902">
      <c r="A1902" s="23" t="s">
        <v>77</v>
      </c>
    </row>
    <row r="1903">
      <c r="A1903" s="23" t="s">
        <v>69</v>
      </c>
    </row>
    <row r="1904">
      <c r="A1904" s="23" t="s">
        <v>81</v>
      </c>
    </row>
    <row r="1905">
      <c r="A1905" s="23" t="s">
        <v>132</v>
      </c>
    </row>
    <row r="1906">
      <c r="A1906" s="23" t="s">
        <v>99</v>
      </c>
    </row>
    <row r="1907">
      <c r="A1907" s="23" t="s">
        <v>109</v>
      </c>
    </row>
    <row r="1908">
      <c r="A1908" s="23" t="s">
        <v>160</v>
      </c>
    </row>
    <row r="1909">
      <c r="A1909" s="23" t="s">
        <v>119</v>
      </c>
    </row>
    <row r="1910">
      <c r="A1910" s="23" t="s">
        <v>12</v>
      </c>
    </row>
    <row r="1911">
      <c r="A1911" s="23" t="s">
        <v>139</v>
      </c>
    </row>
    <row r="1912">
      <c r="A1912" s="23" t="s">
        <v>26</v>
      </c>
    </row>
    <row r="1913">
      <c r="A1913" s="23" t="s">
        <v>64</v>
      </c>
    </row>
    <row r="1914">
      <c r="A1914" s="23" t="s">
        <v>28</v>
      </c>
    </row>
    <row r="1915">
      <c r="A1915" s="23" t="s">
        <v>17</v>
      </c>
    </row>
    <row r="1916">
      <c r="A1916" s="23" t="s">
        <v>49</v>
      </c>
    </row>
    <row r="1917">
      <c r="A1917" s="23" t="s">
        <v>62</v>
      </c>
    </row>
    <row r="1918">
      <c r="A1918" s="23" t="s">
        <v>24</v>
      </c>
    </row>
    <row r="1919">
      <c r="A1919" s="23" t="s">
        <v>152</v>
      </c>
    </row>
    <row r="1920">
      <c r="A1920" s="23" t="s">
        <v>45</v>
      </c>
    </row>
    <row r="1921">
      <c r="A1921" s="23" t="s">
        <v>154</v>
      </c>
    </row>
    <row r="1922">
      <c r="A1922" s="23" t="s">
        <v>43</v>
      </c>
    </row>
    <row r="1923">
      <c r="A1923" s="23" t="s">
        <v>158</v>
      </c>
    </row>
    <row r="1924">
      <c r="A1924" s="23" t="s">
        <v>47</v>
      </c>
    </row>
    <row r="1925">
      <c r="A1925" s="23" t="s">
        <v>30</v>
      </c>
    </row>
    <row r="1926">
      <c r="A1926" s="23" t="s">
        <v>77</v>
      </c>
    </row>
    <row r="1927">
      <c r="A1927" s="23" t="s">
        <v>69</v>
      </c>
    </row>
    <row r="1928">
      <c r="A1928" s="23" t="s">
        <v>81</v>
      </c>
    </row>
    <row r="1929">
      <c r="A1929" s="23" t="s">
        <v>109</v>
      </c>
    </row>
    <row r="1930">
      <c r="A1930" s="23" t="s">
        <v>12</v>
      </c>
    </row>
    <row r="1931">
      <c r="A1931" s="23" t="s">
        <v>139</v>
      </c>
    </row>
    <row r="1932">
      <c r="A1932" s="23" t="s">
        <v>26</v>
      </c>
    </row>
    <row r="1933">
      <c r="A1933" s="23" t="s">
        <v>64</v>
      </c>
    </row>
    <row r="1934">
      <c r="A1934" s="23" t="s">
        <v>28</v>
      </c>
    </row>
    <row r="1935">
      <c r="A1935" s="23" t="s">
        <v>17</v>
      </c>
    </row>
    <row r="1936">
      <c r="A1936" s="23" t="s">
        <v>62</v>
      </c>
    </row>
    <row r="1937">
      <c r="A1937" s="23" t="s">
        <v>152</v>
      </c>
    </row>
    <row r="1938">
      <c r="A1938" s="23" t="s">
        <v>154</v>
      </c>
    </row>
    <row r="1939">
      <c r="A1939" s="23" t="s">
        <v>158</v>
      </c>
    </row>
    <row r="1940">
      <c r="A1940" s="23" t="s">
        <v>47</v>
      </c>
    </row>
    <row r="1941">
      <c r="A1941" s="23" t="s">
        <v>81</v>
      </c>
    </row>
    <row r="1942">
      <c r="A1942" s="23" t="s">
        <v>135</v>
      </c>
    </row>
    <row r="1943">
      <c r="A1943" s="23" t="s">
        <v>109</v>
      </c>
    </row>
    <row r="1944">
      <c r="A1944" s="23" t="s">
        <v>119</v>
      </c>
    </row>
    <row r="1945">
      <c r="A1945" s="23" t="s">
        <v>139</v>
      </c>
    </row>
    <row r="1946">
      <c r="A1946" s="23" t="s">
        <v>26</v>
      </c>
    </row>
    <row r="1947">
      <c r="A1947" s="23" t="s">
        <v>64</v>
      </c>
    </row>
    <row r="1948">
      <c r="A1948" s="23" t="s">
        <v>62</v>
      </c>
    </row>
    <row r="1949">
      <c r="A1949" s="23" t="s">
        <v>154</v>
      </c>
    </row>
    <row r="1950">
      <c r="A1950" s="23" t="s">
        <v>47</v>
      </c>
    </row>
    <row r="1951">
      <c r="A1951" s="23" t="s">
        <v>85</v>
      </c>
    </row>
    <row r="1952">
      <c r="A1952" s="23" t="s">
        <v>81</v>
      </c>
    </row>
    <row r="1953">
      <c r="A1953" s="23" t="s">
        <v>135</v>
      </c>
    </row>
    <row r="1954">
      <c r="A1954" s="23" t="s">
        <v>119</v>
      </c>
    </row>
    <row r="1955">
      <c r="A1955" s="23" t="s">
        <v>12</v>
      </c>
    </row>
    <row r="1956">
      <c r="A1956" s="23" t="s">
        <v>139</v>
      </c>
    </row>
    <row r="1957">
      <c r="A1957" s="23" t="s">
        <v>26</v>
      </c>
    </row>
    <row r="1958">
      <c r="A1958" s="23" t="s">
        <v>92</v>
      </c>
    </row>
    <row r="1959">
      <c r="A1959" s="23" t="s">
        <v>158</v>
      </c>
    </row>
    <row r="1960">
      <c r="A1960" s="23" t="s">
        <v>85</v>
      </c>
    </row>
    <row r="1961">
      <c r="A1961" s="23" t="s">
        <v>69</v>
      </c>
    </row>
    <row r="1962">
      <c r="A1962" s="23" t="s">
        <v>132</v>
      </c>
    </row>
    <row r="1963">
      <c r="A1963" s="23" t="s">
        <v>26</v>
      </c>
    </row>
    <row r="1964">
      <c r="A1964" s="23" t="s">
        <v>163</v>
      </c>
    </row>
    <row r="1965">
      <c r="A1965" s="23" t="s">
        <v>45</v>
      </c>
    </row>
    <row r="1966">
      <c r="A1966" s="23" t="s">
        <v>92</v>
      </c>
    </row>
    <row r="1967">
      <c r="A1967" s="23" t="s">
        <v>85</v>
      </c>
    </row>
    <row r="1968">
      <c r="A1968" s="23" t="s">
        <v>77</v>
      </c>
    </row>
    <row r="1969">
      <c r="A1969" s="23" t="s">
        <v>69</v>
      </c>
    </row>
    <row r="1970">
      <c r="A1970" s="23" t="s">
        <v>12</v>
      </c>
    </row>
    <row r="1971">
      <c r="A1971" s="23" t="s">
        <v>28</v>
      </c>
    </row>
    <row r="1972">
      <c r="A1972" s="23" t="s">
        <v>62</v>
      </c>
    </row>
    <row r="1973">
      <c r="A1973" s="23" t="s">
        <v>163</v>
      </c>
    </row>
    <row r="1974">
      <c r="A1974" s="23" t="s">
        <v>45</v>
      </c>
    </row>
    <row r="1975">
      <c r="A1975" s="23" t="s">
        <v>92</v>
      </c>
    </row>
    <row r="1976">
      <c r="A1976" s="23" t="s">
        <v>154</v>
      </c>
    </row>
    <row r="1977">
      <c r="A1977" s="23" t="s">
        <v>41</v>
      </c>
    </row>
    <row r="1978">
      <c r="A1978" s="23" t="s">
        <v>77</v>
      </c>
    </row>
    <row r="1979">
      <c r="A1979" s="23" t="s">
        <v>12</v>
      </c>
    </row>
    <row r="1980">
      <c r="A1980" s="23" t="s">
        <v>28</v>
      </c>
    </row>
    <row r="1981">
      <c r="A1981" s="23" t="s">
        <v>163</v>
      </c>
    </row>
    <row r="1982">
      <c r="A1982" s="23" t="s">
        <v>152</v>
      </c>
    </row>
    <row r="1983">
      <c r="A1983" s="23" t="s">
        <v>45</v>
      </c>
    </row>
    <row r="1984">
      <c r="A1984" s="23" t="s">
        <v>92</v>
      </c>
    </row>
    <row r="1985">
      <c r="A1985" s="23" t="s">
        <v>41</v>
      </c>
    </row>
    <row r="1986">
      <c r="A1986" s="23" t="s">
        <v>77</v>
      </c>
    </row>
    <row r="1987">
      <c r="A1987" s="23" t="s">
        <v>69</v>
      </c>
    </row>
    <row r="1988">
      <c r="A1988" s="23" t="s">
        <v>59</v>
      </c>
    </row>
    <row r="1989">
      <c r="A1989" s="23" t="s">
        <v>28</v>
      </c>
    </row>
    <row r="1990">
      <c r="A1990" s="23" t="s">
        <v>17</v>
      </c>
    </row>
    <row r="1991">
      <c r="A1991" s="23" t="s">
        <v>163</v>
      </c>
    </row>
    <row r="1992">
      <c r="A1992" s="23" t="s">
        <v>152</v>
      </c>
    </row>
    <row r="1993">
      <c r="A1993" s="23" t="s">
        <v>45</v>
      </c>
    </row>
    <row r="1994">
      <c r="A1994" s="23" t="s">
        <v>92</v>
      </c>
    </row>
    <row r="1995">
      <c r="A1995" s="23" t="s">
        <v>41</v>
      </c>
    </row>
    <row r="1996">
      <c r="A1996" s="23" t="s">
        <v>69</v>
      </c>
    </row>
    <row r="1997">
      <c r="A1997" s="23" t="s">
        <v>37</v>
      </c>
    </row>
    <row r="1998">
      <c r="A1998" s="23" t="s">
        <v>59</v>
      </c>
    </row>
    <row r="1999">
      <c r="A1999" s="23" t="s">
        <v>147</v>
      </c>
    </row>
    <row r="2000">
      <c r="A2000" s="23" t="s">
        <v>26</v>
      </c>
    </row>
    <row r="2001">
      <c r="A2001" s="23" t="s">
        <v>64</v>
      </c>
    </row>
    <row r="2002">
      <c r="A2002" s="23" t="s">
        <v>152</v>
      </c>
    </row>
    <row r="2003">
      <c r="A2003" s="23" t="s">
        <v>45</v>
      </c>
    </row>
    <row r="2004">
      <c r="A2004" s="23" t="s">
        <v>41</v>
      </c>
    </row>
    <row r="2005">
      <c r="A2005" s="23" t="s">
        <v>77</v>
      </c>
    </row>
    <row r="2006">
      <c r="A2006" s="23" t="s">
        <v>69</v>
      </c>
    </row>
    <row r="2007">
      <c r="A2007" s="23" t="s">
        <v>132</v>
      </c>
    </row>
    <row r="2008">
      <c r="A2008" s="23" t="s">
        <v>160</v>
      </c>
    </row>
    <row r="2009">
      <c r="A2009" s="23" t="s">
        <v>28</v>
      </c>
    </row>
    <row r="2010">
      <c r="A2010" s="23" t="s">
        <v>62</v>
      </c>
    </row>
    <row r="2011">
      <c r="A2011" s="23" t="s">
        <v>45</v>
      </c>
    </row>
    <row r="2012">
      <c r="A2012" s="23" t="s">
        <v>154</v>
      </c>
    </row>
    <row r="2013">
      <c r="A2013" s="23" t="s">
        <v>41</v>
      </c>
    </row>
    <row r="2014">
      <c r="A2014" s="23" t="s">
        <v>158</v>
      </c>
    </row>
    <row r="2015">
      <c r="A2015" s="23" t="s">
        <v>77</v>
      </c>
    </row>
    <row r="2016">
      <c r="A2016" s="23" t="s">
        <v>69</v>
      </c>
    </row>
    <row r="2017">
      <c r="A2017" s="23" t="s">
        <v>132</v>
      </c>
    </row>
    <row r="2018">
      <c r="A2018" s="23" t="s">
        <v>34</v>
      </c>
    </row>
    <row r="2019">
      <c r="A2019" s="23" t="s">
        <v>109</v>
      </c>
    </row>
    <row r="2020">
      <c r="A2020" s="23" t="s">
        <v>160</v>
      </c>
    </row>
    <row r="2021">
      <c r="A2021" s="23" t="s">
        <v>12</v>
      </c>
    </row>
    <row r="2022">
      <c r="A2022" s="23" t="s">
        <v>62</v>
      </c>
    </row>
    <row r="2023">
      <c r="A2023" s="23" t="s">
        <v>41</v>
      </c>
    </row>
    <row r="2024">
      <c r="A2024" s="23" t="s">
        <v>43</v>
      </c>
    </row>
    <row r="2025">
      <c r="A2025" s="23" t="s">
        <v>158</v>
      </c>
    </row>
    <row r="2026">
      <c r="A2026" s="23" t="s">
        <v>77</v>
      </c>
    </row>
    <row r="2027">
      <c r="A2027" s="23" t="s">
        <v>132</v>
      </c>
    </row>
    <row r="2028">
      <c r="A2028" s="23" t="s">
        <v>34</v>
      </c>
    </row>
    <row r="2029">
      <c r="A2029" s="23" t="s">
        <v>109</v>
      </c>
    </row>
    <row r="2030">
      <c r="A2030" s="23" t="s">
        <v>139</v>
      </c>
    </row>
    <row r="2031">
      <c r="A2031" s="23" t="s">
        <v>163</v>
      </c>
    </row>
    <row r="2032">
      <c r="A2032" s="23" t="s">
        <v>24</v>
      </c>
    </row>
    <row r="2033">
      <c r="A2033" s="23" t="s">
        <v>152</v>
      </c>
    </row>
    <row r="2034">
      <c r="A2034" s="23" t="s">
        <v>92</v>
      </c>
    </row>
    <row r="2035">
      <c r="A2035" s="23" t="s">
        <v>154</v>
      </c>
    </row>
    <row r="2036">
      <c r="A2036" s="23" t="s">
        <v>32</v>
      </c>
    </row>
    <row r="2037">
      <c r="A2037" s="23" t="s">
        <v>43</v>
      </c>
    </row>
    <row r="2038">
      <c r="A2038" s="23" t="s">
        <v>158</v>
      </c>
    </row>
    <row r="2039">
      <c r="A2039" s="23" t="s">
        <v>77</v>
      </c>
    </row>
    <row r="2040">
      <c r="A2040" s="23" t="s">
        <v>69</v>
      </c>
    </row>
    <row r="2041">
      <c r="A2041" s="23" t="s">
        <v>81</v>
      </c>
    </row>
    <row r="2042">
      <c r="A2042" s="23" t="s">
        <v>132</v>
      </c>
    </row>
    <row r="2043">
      <c r="A2043" s="23" t="s">
        <v>99</v>
      </c>
    </row>
    <row r="2044">
      <c r="A2044" s="23" t="s">
        <v>109</v>
      </c>
    </row>
    <row r="2045">
      <c r="A2045" s="23" t="s">
        <v>160</v>
      </c>
    </row>
    <row r="2046">
      <c r="A2046" s="23" t="s">
        <v>12</v>
      </c>
    </row>
    <row r="2047">
      <c r="A2047" s="23" t="s">
        <v>139</v>
      </c>
    </row>
    <row r="2048">
      <c r="A2048" s="23" t="s">
        <v>26</v>
      </c>
    </row>
    <row r="2049">
      <c r="A2049" s="23" t="s">
        <v>64</v>
      </c>
    </row>
    <row r="2050">
      <c r="A2050" s="23" t="s">
        <v>28</v>
      </c>
    </row>
    <row r="2051">
      <c r="A2051" s="23" t="s">
        <v>24</v>
      </c>
    </row>
    <row r="2052">
      <c r="A2052" s="23" t="s">
        <v>152</v>
      </c>
    </row>
    <row r="2053">
      <c r="A2053" s="23" t="s">
        <v>154</v>
      </c>
    </row>
    <row r="2054">
      <c r="A2054" s="23" t="s">
        <v>41</v>
      </c>
    </row>
    <row r="2055">
      <c r="A2055" s="23" t="s">
        <v>32</v>
      </c>
    </row>
    <row r="2056">
      <c r="A2056" s="23" t="s">
        <v>47</v>
      </c>
    </row>
    <row r="2057">
      <c r="A2057" s="23" t="s">
        <v>30</v>
      </c>
    </row>
    <row r="2058">
      <c r="A2058" s="23" t="s">
        <v>77</v>
      </c>
    </row>
    <row r="2059">
      <c r="A2059" s="23" t="s">
        <v>81</v>
      </c>
    </row>
    <row r="2060">
      <c r="A2060" s="23" t="s">
        <v>99</v>
      </c>
    </row>
    <row r="2061">
      <c r="A2061" s="23" t="s">
        <v>59</v>
      </c>
    </row>
    <row r="2062">
      <c r="A2062" s="23" t="s">
        <v>109</v>
      </c>
    </row>
    <row r="2063">
      <c r="A2063" s="23" t="s">
        <v>119</v>
      </c>
    </row>
    <row r="2064">
      <c r="A2064" s="23" t="s">
        <v>64</v>
      </c>
    </row>
    <row r="2065">
      <c r="A2065" s="23" t="s">
        <v>28</v>
      </c>
    </row>
    <row r="2066">
      <c r="A2066" s="23" t="s">
        <v>17</v>
      </c>
    </row>
    <row r="2067">
      <c r="A2067" s="23" t="s">
        <v>62</v>
      </c>
    </row>
    <row r="2068">
      <c r="A2068" s="23" t="s">
        <v>24</v>
      </c>
    </row>
    <row r="2069">
      <c r="A2069" s="23" t="s">
        <v>152</v>
      </c>
    </row>
    <row r="2070">
      <c r="A2070" s="23" t="s">
        <v>92</v>
      </c>
    </row>
    <row r="2071">
      <c r="A2071" s="23" t="s">
        <v>41</v>
      </c>
    </row>
    <row r="2072">
      <c r="A2072" s="23" t="s">
        <v>32</v>
      </c>
    </row>
    <row r="2073">
      <c r="A2073" s="23" t="s">
        <v>43</v>
      </c>
    </row>
    <row r="2074">
      <c r="A2074" s="23" t="s">
        <v>158</v>
      </c>
    </row>
    <row r="2075">
      <c r="A2075" s="23" t="s">
        <v>47</v>
      </c>
    </row>
    <row r="2076">
      <c r="A2076" s="23" t="s">
        <v>30</v>
      </c>
    </row>
    <row r="2077">
      <c r="A2077" s="23" t="s">
        <v>77</v>
      </c>
    </row>
    <row r="2078">
      <c r="A2078" s="23" t="s">
        <v>69</v>
      </c>
    </row>
    <row r="2079">
      <c r="A2079" s="23" t="s">
        <v>81</v>
      </c>
    </row>
    <row r="2080">
      <c r="A2080" s="23" t="s">
        <v>59</v>
      </c>
    </row>
    <row r="2081">
      <c r="A2081" s="23" t="s">
        <v>109</v>
      </c>
    </row>
    <row r="2082">
      <c r="A2082" s="23" t="s">
        <v>160</v>
      </c>
    </row>
    <row r="2083">
      <c r="A2083" s="23" t="s">
        <v>119</v>
      </c>
    </row>
    <row r="2084">
      <c r="A2084" s="23" t="s">
        <v>12</v>
      </c>
    </row>
    <row r="2085">
      <c r="A2085" s="23" t="s">
        <v>139</v>
      </c>
    </row>
    <row r="2086">
      <c r="A2086" s="23" t="s">
        <v>64</v>
      </c>
    </row>
    <row r="2087">
      <c r="A2087" s="23" t="s">
        <v>17</v>
      </c>
    </row>
    <row r="2088">
      <c r="A2088" s="23" t="s">
        <v>62</v>
      </c>
    </row>
    <row r="2089">
      <c r="A2089" s="23" t="s">
        <v>24</v>
      </c>
    </row>
    <row r="2090">
      <c r="A2090" s="23" t="s">
        <v>152</v>
      </c>
    </row>
    <row r="2091">
      <c r="A2091" s="23" t="s">
        <v>45</v>
      </c>
    </row>
    <row r="2092">
      <c r="A2092" s="23" t="s">
        <v>154</v>
      </c>
    </row>
    <row r="2093">
      <c r="A2093" s="23" t="s">
        <v>32</v>
      </c>
    </row>
    <row r="2094">
      <c r="A2094" s="23" t="s">
        <v>43</v>
      </c>
    </row>
    <row r="2095">
      <c r="A2095" s="23" t="s">
        <v>158</v>
      </c>
    </row>
    <row r="2096">
      <c r="A2096" s="23" t="s">
        <v>47</v>
      </c>
    </row>
    <row r="2097">
      <c r="A2097" s="23" t="s">
        <v>30</v>
      </c>
    </row>
    <row r="2098">
      <c r="A2098" s="23" t="s">
        <v>85</v>
      </c>
    </row>
    <row r="2099">
      <c r="A2099" s="23" t="s">
        <v>81</v>
      </c>
    </row>
    <row r="2100">
      <c r="A2100" s="23" t="s">
        <v>132</v>
      </c>
    </row>
    <row r="2101">
      <c r="A2101" s="23" t="s">
        <v>99</v>
      </c>
    </row>
    <row r="2102">
      <c r="A2102" s="23" t="s">
        <v>135</v>
      </c>
    </row>
    <row r="2103">
      <c r="A2103" s="23" t="s">
        <v>59</v>
      </c>
    </row>
    <row r="2104">
      <c r="A2104" s="23" t="s">
        <v>109</v>
      </c>
    </row>
    <row r="2105">
      <c r="A2105" s="23" t="s">
        <v>160</v>
      </c>
    </row>
    <row r="2106">
      <c r="A2106" s="23" t="s">
        <v>119</v>
      </c>
    </row>
    <row r="2107">
      <c r="A2107" s="23" t="s">
        <v>139</v>
      </c>
    </row>
    <row r="2108">
      <c r="A2108" s="23" t="s">
        <v>64</v>
      </c>
    </row>
    <row r="2109">
      <c r="A2109" s="23" t="s">
        <v>17</v>
      </c>
    </row>
    <row r="2110">
      <c r="A2110" s="23" t="s">
        <v>15</v>
      </c>
    </row>
    <row r="2111">
      <c r="A2111" s="23" t="s">
        <v>62</v>
      </c>
    </row>
    <row r="2112">
      <c r="A2112" s="23" t="s">
        <v>24</v>
      </c>
    </row>
    <row r="2113">
      <c r="A2113" s="23" t="s">
        <v>92</v>
      </c>
    </row>
    <row r="2114">
      <c r="A2114" s="23" t="s">
        <v>47</v>
      </c>
    </row>
    <row r="2115">
      <c r="A2115" s="23" t="s">
        <v>85</v>
      </c>
    </row>
    <row r="2116">
      <c r="A2116" s="23" t="s">
        <v>132</v>
      </c>
    </row>
    <row r="2117">
      <c r="A2117" s="23" t="s">
        <v>135</v>
      </c>
    </row>
    <row r="2118">
      <c r="A2118" s="23" t="s">
        <v>57</v>
      </c>
    </row>
    <row r="2119">
      <c r="A2119" s="23" t="s">
        <v>160</v>
      </c>
    </row>
    <row r="2120">
      <c r="A2120" s="23" t="s">
        <v>119</v>
      </c>
    </row>
    <row r="2121">
      <c r="A2121" s="23" t="s">
        <v>139</v>
      </c>
    </row>
    <row r="2122">
      <c r="A2122" s="23" t="s">
        <v>147</v>
      </c>
    </row>
    <row r="2123">
      <c r="A2123" s="23" t="s">
        <v>26</v>
      </c>
    </row>
    <row r="2124">
      <c r="A2124" s="23" t="s">
        <v>17</v>
      </c>
    </row>
    <row r="2125">
      <c r="A2125" s="23" t="s">
        <v>62</v>
      </c>
    </row>
    <row r="2126">
      <c r="A2126" s="23" t="s">
        <v>163</v>
      </c>
    </row>
    <row r="2127">
      <c r="A2127" s="23" t="s">
        <v>85</v>
      </c>
    </row>
    <row r="2128">
      <c r="A2128" s="23" t="s">
        <v>69</v>
      </c>
    </row>
    <row r="2129">
      <c r="A2129" s="23" t="s">
        <v>132</v>
      </c>
    </row>
    <row r="2130">
      <c r="A2130" s="23" t="s">
        <v>135</v>
      </c>
    </row>
    <row r="2131">
      <c r="A2131" s="23" t="s">
        <v>139</v>
      </c>
    </row>
    <row r="2132">
      <c r="A2132" s="23" t="s">
        <v>28</v>
      </c>
    </row>
    <row r="2133">
      <c r="A2133" s="23" t="s">
        <v>45</v>
      </c>
    </row>
    <row r="2134">
      <c r="A2134" s="23" t="s">
        <v>85</v>
      </c>
    </row>
    <row r="2135">
      <c r="A2135" s="23" t="s">
        <v>69</v>
      </c>
    </row>
    <row r="2136">
      <c r="A2136" s="23" t="s">
        <v>132</v>
      </c>
    </row>
    <row r="2137">
      <c r="A2137" s="23" t="s">
        <v>135</v>
      </c>
    </row>
    <row r="2138">
      <c r="A2138" s="23" t="s">
        <v>28</v>
      </c>
    </row>
    <row r="2139">
      <c r="A2139" s="23" t="s">
        <v>45</v>
      </c>
    </row>
    <row r="2140">
      <c r="A2140" s="23" t="s">
        <v>41</v>
      </c>
    </row>
    <row r="2141">
      <c r="A2141" s="23" t="s">
        <v>77</v>
      </c>
    </row>
    <row r="2142">
      <c r="A2142" s="23" t="s">
        <v>69</v>
      </c>
    </row>
    <row r="2143">
      <c r="A2143" s="23" t="s">
        <v>132</v>
      </c>
    </row>
    <row r="2144">
      <c r="A2144" s="23" t="s">
        <v>160</v>
      </c>
    </row>
    <row r="2145">
      <c r="A2145" s="23" t="s">
        <v>12</v>
      </c>
    </row>
    <row r="2146">
      <c r="A2146" s="23" t="s">
        <v>139</v>
      </c>
    </row>
    <row r="2147">
      <c r="A2147" s="23" t="s">
        <v>26</v>
      </c>
    </row>
    <row r="2148">
      <c r="A2148" s="23" t="s">
        <v>17</v>
      </c>
    </row>
    <row r="2149">
      <c r="A2149" s="23" t="s">
        <v>163</v>
      </c>
    </row>
    <row r="2150">
      <c r="A2150" s="23" t="s">
        <v>152</v>
      </c>
    </row>
    <row r="2151">
      <c r="A2151" s="23" t="s">
        <v>45</v>
      </c>
    </row>
    <row r="2152">
      <c r="A2152" s="23" t="s">
        <v>41</v>
      </c>
    </row>
    <row r="2153">
      <c r="A2153" s="23" t="s">
        <v>77</v>
      </c>
    </row>
    <row r="2154">
      <c r="A2154" s="23" t="s">
        <v>132</v>
      </c>
    </row>
    <row r="2155">
      <c r="A2155" s="23" t="s">
        <v>12</v>
      </c>
    </row>
    <row r="2156">
      <c r="A2156" s="23" t="s">
        <v>139</v>
      </c>
    </row>
    <row r="2157">
      <c r="A2157" s="23" t="s">
        <v>26</v>
      </c>
    </row>
    <row r="2158">
      <c r="A2158" s="23" t="s">
        <v>62</v>
      </c>
    </row>
    <row r="2159">
      <c r="A2159" s="23" t="s">
        <v>163</v>
      </c>
    </row>
    <row r="2160">
      <c r="A2160" s="23" t="s">
        <v>152</v>
      </c>
    </row>
    <row r="2161">
      <c r="A2161" s="23" t="s">
        <v>45</v>
      </c>
    </row>
    <row r="2162">
      <c r="A2162" s="23" t="s">
        <v>41</v>
      </c>
    </row>
    <row r="2163">
      <c r="A2163" s="23" t="s">
        <v>77</v>
      </c>
    </row>
    <row r="2164">
      <c r="A2164" s="23" t="s">
        <v>69</v>
      </c>
    </row>
    <row r="2165">
      <c r="A2165" s="23" t="s">
        <v>37</v>
      </c>
    </row>
    <row r="2166">
      <c r="A2166" s="23" t="s">
        <v>132</v>
      </c>
    </row>
    <row r="2167">
      <c r="A2167" s="23" t="s">
        <v>59</v>
      </c>
    </row>
    <row r="2168">
      <c r="A2168" s="23" t="s">
        <v>160</v>
      </c>
    </row>
    <row r="2169">
      <c r="A2169" s="23" t="s">
        <v>119</v>
      </c>
    </row>
    <row r="2170">
      <c r="A2170" s="23" t="s">
        <v>147</v>
      </c>
    </row>
    <row r="2171">
      <c r="A2171" s="23" t="s">
        <v>26</v>
      </c>
    </row>
    <row r="2172">
      <c r="A2172" s="23" t="s">
        <v>49</v>
      </c>
    </row>
    <row r="2173">
      <c r="A2173" s="23" t="s">
        <v>62</v>
      </c>
    </row>
    <row r="2174">
      <c r="A2174" s="23" t="s">
        <v>163</v>
      </c>
    </row>
    <row r="2175">
      <c r="A2175" s="23" t="s">
        <v>152</v>
      </c>
    </row>
    <row r="2176">
      <c r="A2176" s="23" t="s">
        <v>45</v>
      </c>
    </row>
    <row r="2177">
      <c r="A2177" s="23" t="s">
        <v>41</v>
      </c>
    </row>
    <row r="2178">
      <c r="A2178" s="23" t="s">
        <v>158</v>
      </c>
    </row>
    <row r="2179">
      <c r="A2179" s="23" t="s">
        <v>77</v>
      </c>
    </row>
    <row r="2180">
      <c r="A2180" s="23" t="s">
        <v>132</v>
      </c>
    </row>
    <row r="2181">
      <c r="A2181" s="23" t="s">
        <v>160</v>
      </c>
    </row>
    <row r="2182">
      <c r="A2182" s="23" t="s">
        <v>62</v>
      </c>
    </row>
    <row r="2183">
      <c r="A2183" s="23" t="s">
        <v>163</v>
      </c>
    </row>
    <row r="2184">
      <c r="A2184" s="23" t="s">
        <v>41</v>
      </c>
    </row>
    <row r="2185">
      <c r="A2185" s="23" t="s">
        <v>77</v>
      </c>
    </row>
    <row r="2186">
      <c r="A2186" s="23" t="s">
        <v>69</v>
      </c>
    </row>
    <row r="2187">
      <c r="A2187" s="23" t="s">
        <v>132</v>
      </c>
    </row>
    <row r="2188">
      <c r="A2188" s="23" t="s">
        <v>160</v>
      </c>
    </row>
    <row r="2189">
      <c r="A2189" s="23" t="s">
        <v>119</v>
      </c>
    </row>
    <row r="2190">
      <c r="A2190" s="23" t="s">
        <v>147</v>
      </c>
    </row>
    <row r="2191">
      <c r="A2191" s="23" t="s">
        <v>17</v>
      </c>
    </row>
    <row r="2192">
      <c r="A2192" s="23" t="s">
        <v>15</v>
      </c>
    </row>
    <row r="2193">
      <c r="A2193" s="23" t="s">
        <v>62</v>
      </c>
    </row>
    <row r="2194">
      <c r="A2194" s="23" t="s">
        <v>163</v>
      </c>
    </row>
    <row r="2195">
      <c r="A2195" s="23" t="s">
        <v>152</v>
      </c>
    </row>
    <row r="2196">
      <c r="A2196" s="23" t="s">
        <v>154</v>
      </c>
    </row>
    <row r="2197">
      <c r="A2197" s="23" t="s">
        <v>32</v>
      </c>
    </row>
    <row r="2198">
      <c r="A2198" s="23" t="s">
        <v>43</v>
      </c>
    </row>
    <row r="2199">
      <c r="A2199" s="23" t="s">
        <v>77</v>
      </c>
    </row>
    <row r="2200">
      <c r="A2200" s="23" t="s">
        <v>69</v>
      </c>
    </row>
    <row r="2201">
      <c r="A2201" s="23" t="s">
        <v>37</v>
      </c>
    </row>
    <row r="2202">
      <c r="A2202" s="23" t="s">
        <v>99</v>
      </c>
    </row>
    <row r="2203">
      <c r="A2203" s="23" t="s">
        <v>135</v>
      </c>
    </row>
    <row r="2204">
      <c r="A2204" s="23" t="s">
        <v>59</v>
      </c>
    </row>
    <row r="2205">
      <c r="A2205" s="23" t="s">
        <v>109</v>
      </c>
    </row>
    <row r="2206">
      <c r="A2206" s="23" t="s">
        <v>160</v>
      </c>
    </row>
    <row r="2207">
      <c r="A2207" s="23" t="s">
        <v>119</v>
      </c>
    </row>
    <row r="2208">
      <c r="A2208" s="23" t="s">
        <v>12</v>
      </c>
    </row>
    <row r="2209">
      <c r="A2209" s="23" t="s">
        <v>139</v>
      </c>
    </row>
    <row r="2210">
      <c r="A2210" s="23" t="s">
        <v>147</v>
      </c>
    </row>
    <row r="2211">
      <c r="A2211" s="23" t="s">
        <v>64</v>
      </c>
    </row>
    <row r="2212">
      <c r="A2212" s="23" t="s">
        <v>15</v>
      </c>
    </row>
    <row r="2213">
      <c r="A2213" s="23" t="s">
        <v>49</v>
      </c>
    </row>
    <row r="2214">
      <c r="A2214" s="23" t="s">
        <v>62</v>
      </c>
    </row>
    <row r="2215">
      <c r="A2215" s="23" t="s">
        <v>152</v>
      </c>
    </row>
    <row r="2216">
      <c r="A2216" s="23" t="s">
        <v>92</v>
      </c>
    </row>
    <row r="2217">
      <c r="A2217" s="23" t="s">
        <v>32</v>
      </c>
    </row>
    <row r="2218">
      <c r="A2218" s="23" t="s">
        <v>85</v>
      </c>
    </row>
    <row r="2219">
      <c r="A2219" s="23" t="s">
        <v>81</v>
      </c>
    </row>
    <row r="2220">
      <c r="A2220" s="23" t="s">
        <v>57</v>
      </c>
    </row>
    <row r="2221">
      <c r="A2221" s="23" t="s">
        <v>160</v>
      </c>
    </row>
    <row r="2222">
      <c r="A2222" s="23" t="s">
        <v>12</v>
      </c>
    </row>
    <row r="2223">
      <c r="A2223" s="23" t="s">
        <v>139</v>
      </c>
    </row>
    <row r="2224">
      <c r="A2224" s="23" t="s">
        <v>147</v>
      </c>
    </row>
    <row r="2225">
      <c r="A2225" s="23" t="s">
        <v>26</v>
      </c>
    </row>
    <row r="2226">
      <c r="A2226" s="23" t="s">
        <v>64</v>
      </c>
    </row>
    <row r="2227">
      <c r="A2227" s="23" t="s">
        <v>15</v>
      </c>
    </row>
    <row r="2228">
      <c r="A2228" s="23" t="s">
        <v>49</v>
      </c>
    </row>
    <row r="2229">
      <c r="A2229" s="23" t="s">
        <v>62</v>
      </c>
    </row>
    <row r="2230">
      <c r="A2230" s="23" t="s">
        <v>152</v>
      </c>
    </row>
    <row r="2231">
      <c r="A2231" s="23" t="s">
        <v>45</v>
      </c>
    </row>
    <row r="2232">
      <c r="A2232" s="23" t="s">
        <v>92</v>
      </c>
    </row>
    <row r="2233">
      <c r="A2233" s="23" t="s">
        <v>154</v>
      </c>
    </row>
    <row r="2234">
      <c r="A2234" s="23" t="s">
        <v>32</v>
      </c>
    </row>
    <row r="2235">
      <c r="A2235" s="23" t="s">
        <v>43</v>
      </c>
    </row>
    <row r="2236">
      <c r="A2236" s="23" t="s">
        <v>30</v>
      </c>
    </row>
    <row r="2237">
      <c r="A2237" s="23" t="s">
        <v>85</v>
      </c>
    </row>
    <row r="2238">
      <c r="A2238" s="23" t="s">
        <v>57</v>
      </c>
    </row>
    <row r="2239">
      <c r="A2239" s="23" t="s">
        <v>160</v>
      </c>
    </row>
    <row r="2240">
      <c r="A2240" s="23" t="s">
        <v>12</v>
      </c>
    </row>
    <row r="2241">
      <c r="A2241" s="23" t="s">
        <v>139</v>
      </c>
    </row>
    <row r="2242">
      <c r="A2242" s="23" t="s">
        <v>64</v>
      </c>
    </row>
    <row r="2243">
      <c r="A2243" s="23" t="s">
        <v>15</v>
      </c>
    </row>
    <row r="2244">
      <c r="A2244" s="23" t="s">
        <v>49</v>
      </c>
    </row>
    <row r="2245">
      <c r="A2245" s="23" t="s">
        <v>62</v>
      </c>
    </row>
    <row r="2246">
      <c r="A2246" s="23" t="s">
        <v>152</v>
      </c>
    </row>
    <row r="2247">
      <c r="A2247" s="23" t="s">
        <v>45</v>
      </c>
    </row>
    <row r="2248">
      <c r="A2248" s="23" t="s">
        <v>92</v>
      </c>
    </row>
    <row r="2249">
      <c r="A2249" s="23" t="s">
        <v>154</v>
      </c>
    </row>
    <row r="2250">
      <c r="A2250" s="23" t="s">
        <v>32</v>
      </c>
    </row>
    <row r="2251">
      <c r="A2251" s="23" t="s">
        <v>47</v>
      </c>
    </row>
    <row r="2252">
      <c r="A2252" s="23" t="s">
        <v>85</v>
      </c>
    </row>
    <row r="2253">
      <c r="A2253" s="23" t="s">
        <v>132</v>
      </c>
    </row>
    <row r="2254">
      <c r="A2254" s="23" t="s">
        <v>135</v>
      </c>
    </row>
    <row r="2255">
      <c r="A2255" s="23" t="s">
        <v>57</v>
      </c>
    </row>
    <row r="2256">
      <c r="A2256" s="23" t="s">
        <v>160</v>
      </c>
    </row>
    <row r="2257">
      <c r="A2257" s="23" t="s">
        <v>139</v>
      </c>
    </row>
    <row r="2258">
      <c r="A2258" s="23" t="s">
        <v>147</v>
      </c>
    </row>
    <row r="2259">
      <c r="A2259" s="23" t="s">
        <v>64</v>
      </c>
    </row>
    <row r="2260">
      <c r="A2260" s="23" t="s">
        <v>15</v>
      </c>
    </row>
    <row r="2261">
      <c r="A2261" s="23" t="s">
        <v>49</v>
      </c>
    </row>
    <row r="2262">
      <c r="A2262" s="23" t="s">
        <v>62</v>
      </c>
    </row>
    <row r="2263">
      <c r="A2263" s="23" t="s">
        <v>24</v>
      </c>
    </row>
    <row r="2264">
      <c r="A2264" s="23" t="s">
        <v>152</v>
      </c>
    </row>
    <row r="2265">
      <c r="A2265" s="23" t="s">
        <v>92</v>
      </c>
    </row>
    <row r="2266">
      <c r="A2266" s="23" t="s">
        <v>154</v>
      </c>
    </row>
    <row r="2267">
      <c r="A2267" s="23" t="s">
        <v>32</v>
      </c>
    </row>
    <row r="2268">
      <c r="A2268" s="23" t="s">
        <v>113</v>
      </c>
    </row>
    <row r="2269">
      <c r="A2269" s="23" t="s">
        <v>47</v>
      </c>
    </row>
    <row r="2270">
      <c r="A2270" s="23" t="s">
        <v>85</v>
      </c>
    </row>
    <row r="2271">
      <c r="A2271" s="23" t="s">
        <v>132</v>
      </c>
    </row>
    <row r="2272">
      <c r="A2272" s="23" t="s">
        <v>135</v>
      </c>
    </row>
    <row r="2273">
      <c r="A2273" s="23" t="s">
        <v>57</v>
      </c>
    </row>
    <row r="2274">
      <c r="A2274" s="23" t="s">
        <v>160</v>
      </c>
    </row>
    <row r="2275">
      <c r="A2275" s="23" t="s">
        <v>139</v>
      </c>
    </row>
    <row r="2276">
      <c r="A2276" s="23" t="s">
        <v>147</v>
      </c>
    </row>
    <row r="2277">
      <c r="A2277" s="23" t="s">
        <v>26</v>
      </c>
    </row>
    <row r="2278">
      <c r="A2278" s="23" t="s">
        <v>64</v>
      </c>
    </row>
    <row r="2279">
      <c r="A2279" s="23" t="s">
        <v>17</v>
      </c>
    </row>
    <row r="2280">
      <c r="A2280" s="23" t="s">
        <v>62</v>
      </c>
    </row>
    <row r="2281">
      <c r="A2281" s="23" t="s">
        <v>32</v>
      </c>
    </row>
    <row r="2282">
      <c r="A2282" s="23" t="s">
        <v>77</v>
      </c>
    </row>
    <row r="2283">
      <c r="A2283" s="23" t="s">
        <v>69</v>
      </c>
    </row>
    <row r="2284">
      <c r="A2284" s="23" t="s">
        <v>160</v>
      </c>
    </row>
    <row r="2285">
      <c r="A2285" s="23" t="s">
        <v>119</v>
      </c>
    </row>
    <row r="2286">
      <c r="A2286" s="23" t="s">
        <v>139</v>
      </c>
    </row>
    <row r="2287">
      <c r="A2287" s="23" t="s">
        <v>26</v>
      </c>
    </row>
    <row r="2288">
      <c r="A2288" s="23" t="s">
        <v>64</v>
      </c>
    </row>
    <row r="2289">
      <c r="A2289" s="23" t="s">
        <v>32</v>
      </c>
    </row>
    <row r="2290">
      <c r="A2290" s="23" t="s">
        <v>69</v>
      </c>
    </row>
    <row r="2291">
      <c r="A2291" s="23" t="s">
        <v>37</v>
      </c>
    </row>
    <row r="2292">
      <c r="A2292" s="23" t="s">
        <v>163</v>
      </c>
    </row>
    <row r="2293">
      <c r="A2293" s="23" t="s">
        <v>92</v>
      </c>
    </row>
    <row r="2294">
      <c r="A2294" s="23" t="s">
        <v>32</v>
      </c>
    </row>
    <row r="2295">
      <c r="A2295" s="23" t="s">
        <v>77</v>
      </c>
    </row>
    <row r="2296">
      <c r="A2296" s="23" t="s">
        <v>69</v>
      </c>
    </row>
    <row r="2297">
      <c r="A2297" s="23" t="s">
        <v>160</v>
      </c>
    </row>
    <row r="2298">
      <c r="A2298" s="23" t="s">
        <v>139</v>
      </c>
    </row>
    <row r="2299">
      <c r="A2299" s="23" t="s">
        <v>26</v>
      </c>
    </row>
    <row r="2300">
      <c r="A2300" s="23" t="s">
        <v>64</v>
      </c>
    </row>
    <row r="2301">
      <c r="A2301" s="23" t="s">
        <v>28</v>
      </c>
    </row>
    <row r="2302">
      <c r="A2302" s="23" t="s">
        <v>163</v>
      </c>
    </row>
    <row r="2303">
      <c r="A2303" s="23" t="s">
        <v>92</v>
      </c>
    </row>
    <row r="2304">
      <c r="A2304" s="23" t="s">
        <v>85</v>
      </c>
    </row>
    <row r="2305">
      <c r="A2305" s="23" t="s">
        <v>77</v>
      </c>
    </row>
    <row r="2306">
      <c r="A2306" s="23" t="s">
        <v>69</v>
      </c>
    </row>
    <row r="2307">
      <c r="A2307" s="23" t="s">
        <v>119</v>
      </c>
    </row>
    <row r="2308">
      <c r="A2308" s="23" t="s">
        <v>12</v>
      </c>
    </row>
    <row r="2309">
      <c r="A2309" s="23" t="s">
        <v>64</v>
      </c>
    </row>
    <row r="2310">
      <c r="A2310" s="23" t="s">
        <v>28</v>
      </c>
    </row>
    <row r="2311">
      <c r="A2311" s="23" t="s">
        <v>17</v>
      </c>
    </row>
    <row r="2312">
      <c r="A2312" s="23" t="s">
        <v>163</v>
      </c>
    </row>
    <row r="2313">
      <c r="A2313" s="23" t="s">
        <v>152</v>
      </c>
    </row>
    <row r="2314">
      <c r="A2314" s="23" t="s">
        <v>45</v>
      </c>
    </row>
    <row r="2315">
      <c r="A2315" s="23" t="s">
        <v>32</v>
      </c>
    </row>
    <row r="2316">
      <c r="A2316" s="23" t="s">
        <v>77</v>
      </c>
    </row>
    <row r="2317">
      <c r="A2317" s="23" t="s">
        <v>119</v>
      </c>
    </row>
    <row r="2318">
      <c r="A2318" s="23" t="s">
        <v>12</v>
      </c>
    </row>
    <row r="2319">
      <c r="A2319" s="23" t="s">
        <v>139</v>
      </c>
    </row>
    <row r="2320">
      <c r="A2320" s="23" t="s">
        <v>147</v>
      </c>
    </row>
    <row r="2321">
      <c r="A2321" s="23" t="s">
        <v>17</v>
      </c>
    </row>
    <row r="2322">
      <c r="A2322" s="23" t="s">
        <v>163</v>
      </c>
    </row>
    <row r="2323">
      <c r="A2323" s="23" t="s">
        <v>152</v>
      </c>
    </row>
    <row r="2324">
      <c r="A2324" s="23" t="s">
        <v>92</v>
      </c>
    </row>
    <row r="2325">
      <c r="A2325" s="23" t="s">
        <v>154</v>
      </c>
    </row>
    <row r="2326">
      <c r="A2326" s="23" t="s">
        <v>41</v>
      </c>
    </row>
    <row r="2327">
      <c r="A2327" s="23" t="s">
        <v>32</v>
      </c>
    </row>
    <row r="2328">
      <c r="A2328" s="23" t="s">
        <v>77</v>
      </c>
    </row>
    <row r="2329">
      <c r="A2329" s="23" t="s">
        <v>119</v>
      </c>
    </row>
    <row r="2330">
      <c r="A2330" s="23" t="s">
        <v>139</v>
      </c>
    </row>
    <row r="2331">
      <c r="A2331" s="23" t="s">
        <v>147</v>
      </c>
    </row>
    <row r="2332">
      <c r="A2332" s="23" t="s">
        <v>64</v>
      </c>
    </row>
    <row r="2333">
      <c r="A2333" s="23" t="s">
        <v>28</v>
      </c>
    </row>
    <row r="2334">
      <c r="A2334" s="23" t="s">
        <v>163</v>
      </c>
    </row>
    <row r="2335">
      <c r="A2335" s="23" t="s">
        <v>152</v>
      </c>
    </row>
    <row r="2336">
      <c r="A2336" s="23" t="s">
        <v>158</v>
      </c>
    </row>
    <row r="2337">
      <c r="A2337" s="23" t="s">
        <v>77</v>
      </c>
    </row>
    <row r="2338">
      <c r="A2338" s="23" t="s">
        <v>132</v>
      </c>
    </row>
    <row r="2339">
      <c r="A2339" s="23" t="s">
        <v>160</v>
      </c>
    </row>
    <row r="2340">
      <c r="A2340" s="23" t="s">
        <v>64</v>
      </c>
    </row>
    <row r="2341">
      <c r="A2341" s="23" t="s">
        <v>15</v>
      </c>
    </row>
    <row r="2342">
      <c r="A2342" s="23" t="s">
        <v>163</v>
      </c>
    </row>
    <row r="2343">
      <c r="A2343" s="23" t="s">
        <v>154</v>
      </c>
    </row>
    <row r="2344">
      <c r="A2344" s="23" t="s">
        <v>158</v>
      </c>
    </row>
    <row r="2345">
      <c r="A2345" s="23" t="s">
        <v>77</v>
      </c>
    </row>
    <row r="2346">
      <c r="A2346" s="23" t="s">
        <v>132</v>
      </c>
    </row>
    <row r="2347">
      <c r="A2347" s="23" t="s">
        <v>160</v>
      </c>
    </row>
    <row r="2348">
      <c r="A2348" s="23" t="s">
        <v>64</v>
      </c>
    </row>
    <row r="2349">
      <c r="A2349" s="23" t="s">
        <v>15</v>
      </c>
    </row>
    <row r="2350">
      <c r="A2350" s="23" t="s">
        <v>62</v>
      </c>
    </row>
    <row r="2351">
      <c r="A2351" s="23" t="s">
        <v>24</v>
      </c>
    </row>
    <row r="2352">
      <c r="A2352" s="23" t="s">
        <v>152</v>
      </c>
    </row>
    <row r="2353">
      <c r="A2353" s="23" t="s">
        <v>32</v>
      </c>
    </row>
    <row r="2354">
      <c r="A2354" s="23" t="s">
        <v>132</v>
      </c>
    </row>
    <row r="2355">
      <c r="A2355" s="23" t="s">
        <v>160</v>
      </c>
    </row>
    <row r="2356">
      <c r="A2356" s="23" t="s">
        <v>139</v>
      </c>
    </row>
    <row r="2357">
      <c r="A2357" s="23" t="s">
        <v>64</v>
      </c>
    </row>
    <row r="2358">
      <c r="A2358" s="23" t="s">
        <v>15</v>
      </c>
    </row>
    <row r="2359">
      <c r="A2359" s="23" t="s">
        <v>62</v>
      </c>
    </row>
    <row r="2360">
      <c r="A2360" s="23" t="s">
        <v>163</v>
      </c>
    </row>
    <row r="2361">
      <c r="A2361" s="23" t="s">
        <v>24</v>
      </c>
    </row>
    <row r="2362">
      <c r="A2362" s="23" t="s">
        <v>152</v>
      </c>
    </row>
    <row r="2363">
      <c r="A2363" s="23" t="s">
        <v>154</v>
      </c>
    </row>
    <row r="2364">
      <c r="A2364" s="23" t="s">
        <v>41</v>
      </c>
    </row>
    <row r="2365">
      <c r="A2365" s="23" t="s">
        <v>32</v>
      </c>
    </row>
    <row r="2366">
      <c r="A2366" s="23" t="s">
        <v>43</v>
      </c>
    </row>
    <row r="2367">
      <c r="A2367" s="23" t="s">
        <v>113</v>
      </c>
    </row>
    <row r="2368">
      <c r="A2368" s="23" t="s">
        <v>47</v>
      </c>
    </row>
    <row r="2369">
      <c r="A2369" s="23" t="s">
        <v>132</v>
      </c>
    </row>
    <row r="2370">
      <c r="A2370" s="23" t="s">
        <v>135</v>
      </c>
    </row>
    <row r="2371">
      <c r="A2371" s="23" t="s">
        <v>109</v>
      </c>
    </row>
    <row r="2372">
      <c r="A2372" s="23" t="s">
        <v>160</v>
      </c>
    </row>
    <row r="2373">
      <c r="A2373" s="23" t="s">
        <v>64</v>
      </c>
    </row>
    <row r="2374">
      <c r="A2374" s="23" t="s">
        <v>62</v>
      </c>
    </row>
    <row r="2375">
      <c r="A2375" s="23" t="s">
        <v>24</v>
      </c>
    </row>
    <row r="2376">
      <c r="A2376" s="23" t="s">
        <v>152</v>
      </c>
    </row>
    <row r="2377">
      <c r="A2377" s="23" t="s">
        <v>92</v>
      </c>
    </row>
    <row r="2378">
      <c r="A2378" s="23" t="s">
        <v>113</v>
      </c>
    </row>
    <row r="2379">
      <c r="A2379" s="23" t="s">
        <v>47</v>
      </c>
    </row>
    <row r="2380">
      <c r="A2380" s="23" t="s">
        <v>85</v>
      </c>
    </row>
    <row r="2381">
      <c r="A2381" s="23" t="s">
        <v>132</v>
      </c>
    </row>
    <row r="2382">
      <c r="A2382" s="23" t="s">
        <v>135</v>
      </c>
    </row>
    <row r="2383">
      <c r="A2383" s="23" t="s">
        <v>160</v>
      </c>
    </row>
    <row r="2384">
      <c r="A2384" s="23" t="s">
        <v>139</v>
      </c>
    </row>
    <row r="2385">
      <c r="A2385" s="23" t="s">
        <v>64</v>
      </c>
    </row>
    <row r="2386">
      <c r="A2386" s="23" t="s">
        <v>49</v>
      </c>
    </row>
    <row r="2387">
      <c r="A2387" s="23" t="s">
        <v>24</v>
      </c>
    </row>
    <row r="2388">
      <c r="A2388" s="23" t="s">
        <v>152</v>
      </c>
    </row>
    <row r="2389">
      <c r="A2389" s="23" t="s">
        <v>47</v>
      </c>
    </row>
    <row r="2390">
      <c r="A2390" s="23" t="s">
        <v>85</v>
      </c>
    </row>
    <row r="2391">
      <c r="A2391" s="23" t="s">
        <v>132</v>
      </c>
    </row>
    <row r="2392">
      <c r="A2392" s="23" t="s">
        <v>135</v>
      </c>
    </row>
    <row r="2393">
      <c r="A2393" s="23" t="s">
        <v>160</v>
      </c>
    </row>
    <row r="2394">
      <c r="A2394" s="23" t="s">
        <v>139</v>
      </c>
    </row>
    <row r="2395">
      <c r="A2395" s="23" t="s">
        <v>62</v>
      </c>
    </row>
    <row r="2396">
      <c r="A2396" s="23" t="s">
        <v>85</v>
      </c>
    </row>
    <row r="2397">
      <c r="A2397" s="23" t="s">
        <v>132</v>
      </c>
    </row>
    <row r="2398">
      <c r="A2398" s="23" t="s">
        <v>135</v>
      </c>
    </row>
    <row r="2399">
      <c r="A2399" s="23" t="s">
        <v>26</v>
      </c>
    </row>
    <row r="2400">
      <c r="A2400" s="23" t="s">
        <v>28</v>
      </c>
    </row>
    <row r="2401">
      <c r="A2401" s="23" t="s">
        <v>85</v>
      </c>
    </row>
    <row r="2402">
      <c r="A2402" s="23" t="s">
        <v>77</v>
      </c>
    </row>
    <row r="2403">
      <c r="A2403" s="23" t="s">
        <v>132</v>
      </c>
    </row>
    <row r="2404">
      <c r="A2404" s="23" t="s">
        <v>26</v>
      </c>
    </row>
    <row r="2405">
      <c r="A2405" s="23" t="s">
        <v>28</v>
      </c>
    </row>
    <row r="2406">
      <c r="A2406" s="23" t="s">
        <v>17</v>
      </c>
    </row>
    <row r="2407">
      <c r="A2407" s="23" t="s">
        <v>163</v>
      </c>
    </row>
    <row r="2408">
      <c r="A2408" s="23" t="s">
        <v>45</v>
      </c>
    </row>
    <row r="2409">
      <c r="A2409" s="23" t="s">
        <v>41</v>
      </c>
    </row>
    <row r="2410">
      <c r="A2410" s="23" t="s">
        <v>158</v>
      </c>
    </row>
    <row r="2411">
      <c r="A2411" s="23" t="s">
        <v>77</v>
      </c>
    </row>
    <row r="2412">
      <c r="A2412" s="23" t="s">
        <v>28</v>
      </c>
    </row>
    <row r="2413">
      <c r="A2413" s="23" t="s">
        <v>163</v>
      </c>
    </row>
    <row r="2414">
      <c r="A2414" s="23" t="s">
        <v>45</v>
      </c>
    </row>
    <row r="2415">
      <c r="A2415" s="23" t="s">
        <v>41</v>
      </c>
    </row>
    <row r="2416">
      <c r="A2416" s="23" t="s">
        <v>158</v>
      </c>
    </row>
    <row r="2417">
      <c r="A2417" s="23" t="s">
        <v>77</v>
      </c>
    </row>
    <row r="2418">
      <c r="A2418" s="23" t="s">
        <v>132</v>
      </c>
    </row>
    <row r="2419">
      <c r="A2419" s="23" t="s">
        <v>160</v>
      </c>
    </row>
    <row r="2420">
      <c r="A2420" s="23" t="s">
        <v>28</v>
      </c>
    </row>
    <row r="2421">
      <c r="A2421" s="23" t="s">
        <v>49</v>
      </c>
    </row>
    <row r="2422">
      <c r="A2422" s="23" t="s">
        <v>163</v>
      </c>
    </row>
    <row r="2423">
      <c r="A2423" s="23" t="s">
        <v>41</v>
      </c>
    </row>
    <row r="2424">
      <c r="A2424" s="23" t="s">
        <v>158</v>
      </c>
    </row>
    <row r="2425">
      <c r="A2425" s="23" t="s">
        <v>77</v>
      </c>
    </row>
    <row r="2426">
      <c r="A2426" s="23" t="s">
        <v>132</v>
      </c>
    </row>
    <row r="2427">
      <c r="A2427" s="23" t="s">
        <v>160</v>
      </c>
    </row>
    <row r="2428">
      <c r="A2428" s="23" t="s">
        <v>119</v>
      </c>
    </row>
    <row r="2429">
      <c r="A2429" s="23" t="s">
        <v>139</v>
      </c>
    </row>
    <row r="2430">
      <c r="A2430" s="23" t="s">
        <v>28</v>
      </c>
    </row>
    <row r="2431">
      <c r="A2431" s="23" t="s">
        <v>49</v>
      </c>
    </row>
    <row r="2432">
      <c r="A2432" s="23" t="s">
        <v>62</v>
      </c>
    </row>
    <row r="2433">
      <c r="A2433" s="23" t="s">
        <v>163</v>
      </c>
    </row>
    <row r="2434">
      <c r="A2434" s="23" t="s">
        <v>152</v>
      </c>
    </row>
    <row r="2435">
      <c r="A2435" s="23" t="s">
        <v>41</v>
      </c>
    </row>
    <row r="2436">
      <c r="A2436" s="23" t="s">
        <v>77</v>
      </c>
    </row>
    <row r="2437">
      <c r="A2437" s="23" t="s">
        <v>132</v>
      </c>
    </row>
    <row r="2438">
      <c r="A2438" s="23" t="s">
        <v>119</v>
      </c>
    </row>
    <row r="2439">
      <c r="A2439" s="23" t="s">
        <v>139</v>
      </c>
    </row>
    <row r="2440">
      <c r="A2440" s="23" t="s">
        <v>147</v>
      </c>
    </row>
    <row r="2441">
      <c r="A2441" s="23" t="s">
        <v>28</v>
      </c>
    </row>
    <row r="2442">
      <c r="A2442" s="23" t="s">
        <v>15</v>
      </c>
    </row>
    <row r="2443">
      <c r="A2443" s="23" t="s">
        <v>62</v>
      </c>
    </row>
    <row r="2444">
      <c r="A2444" s="23" t="s">
        <v>163</v>
      </c>
    </row>
    <row r="2445">
      <c r="A2445" s="23" t="s">
        <v>24</v>
      </c>
    </row>
    <row r="2446">
      <c r="A2446" s="23" t="s">
        <v>152</v>
      </c>
    </row>
    <row r="2447">
      <c r="A2447" s="23" t="s">
        <v>41</v>
      </c>
    </row>
    <row r="2448">
      <c r="A2448" s="23" t="s">
        <v>77</v>
      </c>
    </row>
    <row r="2449">
      <c r="A2449" s="23" t="s">
        <v>119</v>
      </c>
    </row>
    <row r="2450">
      <c r="A2450" s="23" t="s">
        <v>139</v>
      </c>
    </row>
    <row r="2451">
      <c r="A2451" s="23" t="s">
        <v>147</v>
      </c>
    </row>
    <row r="2452">
      <c r="A2452" s="23" t="s">
        <v>15</v>
      </c>
    </row>
    <row r="2453">
      <c r="A2453" s="23" t="s">
        <v>62</v>
      </c>
    </row>
    <row r="2454">
      <c r="A2454" s="23" t="s">
        <v>163</v>
      </c>
    </row>
    <row r="2455">
      <c r="A2455" s="23" t="s">
        <v>24</v>
      </c>
    </row>
    <row r="2456">
      <c r="A2456" s="23" t="s">
        <v>152</v>
      </c>
    </row>
    <row r="2457">
      <c r="A2457" s="23" t="s">
        <v>43</v>
      </c>
    </row>
    <row r="2458">
      <c r="A2458" s="23" t="s">
        <v>77</v>
      </c>
    </row>
    <row r="2459">
      <c r="A2459" s="23" t="s">
        <v>81</v>
      </c>
    </row>
    <row r="2460">
      <c r="A2460" s="23" t="s">
        <v>139</v>
      </c>
    </row>
    <row r="2461">
      <c r="A2461" s="23" t="s">
        <v>147</v>
      </c>
    </row>
    <row r="2462">
      <c r="A2462" s="23" t="s">
        <v>15</v>
      </c>
    </row>
    <row r="2463">
      <c r="A2463" s="23" t="s">
        <v>62</v>
      </c>
    </row>
    <row r="2464">
      <c r="A2464" s="23" t="s">
        <v>163</v>
      </c>
    </row>
    <row r="2465">
      <c r="A2465" s="23" t="s">
        <v>24</v>
      </c>
    </row>
    <row r="2466">
      <c r="A2466" s="23" t="s">
        <v>152</v>
      </c>
    </row>
    <row r="2467">
      <c r="A2467" s="23" t="s">
        <v>154</v>
      </c>
    </row>
    <row r="2468">
      <c r="A2468" s="23" t="s">
        <v>41</v>
      </c>
    </row>
    <row r="2469">
      <c r="A2469" s="23" t="s">
        <v>32</v>
      </c>
    </row>
    <row r="2470">
      <c r="A2470" s="23" t="s">
        <v>43</v>
      </c>
    </row>
    <row r="2471">
      <c r="A2471" s="23" t="s">
        <v>158</v>
      </c>
    </row>
    <row r="2472">
      <c r="A2472" s="23" t="s">
        <v>30</v>
      </c>
    </row>
    <row r="2473">
      <c r="A2473" s="23" t="s">
        <v>77</v>
      </c>
    </row>
    <row r="2474">
      <c r="A2474" s="23" t="s">
        <v>69</v>
      </c>
    </row>
    <row r="2475">
      <c r="A2475" s="23" t="s">
        <v>81</v>
      </c>
    </row>
    <row r="2476">
      <c r="A2476" s="23" t="s">
        <v>59</v>
      </c>
    </row>
    <row r="2477">
      <c r="A2477" s="23" t="s">
        <v>57</v>
      </c>
    </row>
    <row r="2478">
      <c r="A2478" s="23" t="s">
        <v>109</v>
      </c>
    </row>
    <row r="2479">
      <c r="A2479" s="23" t="s">
        <v>160</v>
      </c>
    </row>
    <row r="2480">
      <c r="A2480" s="23" t="s">
        <v>139</v>
      </c>
    </row>
    <row r="2481">
      <c r="A2481" s="23" t="s">
        <v>147</v>
      </c>
    </row>
    <row r="2482">
      <c r="A2482" s="23" t="s">
        <v>64</v>
      </c>
    </row>
    <row r="2483">
      <c r="A2483" s="23" t="s">
        <v>28</v>
      </c>
    </row>
    <row r="2484">
      <c r="A2484" s="23" t="s">
        <v>15</v>
      </c>
    </row>
    <row r="2485">
      <c r="A2485" s="23" t="s">
        <v>49</v>
      </c>
    </row>
    <row r="2486">
      <c r="A2486" s="23" t="s">
        <v>62</v>
      </c>
    </row>
    <row r="2487">
      <c r="A2487" s="23" t="s">
        <v>163</v>
      </c>
    </row>
    <row r="2488">
      <c r="A2488" s="23" t="s">
        <v>24</v>
      </c>
    </row>
    <row r="2489">
      <c r="A2489" s="23" t="s">
        <v>152</v>
      </c>
    </row>
    <row r="2490">
      <c r="A2490" s="23" t="s">
        <v>92</v>
      </c>
    </row>
    <row r="2491">
      <c r="A2491" s="23" t="s">
        <v>41</v>
      </c>
    </row>
    <row r="2492">
      <c r="A2492" s="23" t="s">
        <v>32</v>
      </c>
    </row>
    <row r="2493">
      <c r="A2493" s="23" t="s">
        <v>43</v>
      </c>
    </row>
    <row r="2494">
      <c r="A2494" s="23" t="s">
        <v>158</v>
      </c>
    </row>
    <row r="2495">
      <c r="A2495" s="23" t="s">
        <v>30</v>
      </c>
    </row>
    <row r="2496">
      <c r="A2496" s="23" t="s">
        <v>81</v>
      </c>
    </row>
    <row r="2497">
      <c r="A2497" s="23" t="s">
        <v>132</v>
      </c>
    </row>
    <row r="2498">
      <c r="A2498" s="23" t="s">
        <v>34</v>
      </c>
    </row>
    <row r="2499">
      <c r="A2499" s="23" t="s">
        <v>135</v>
      </c>
    </row>
    <row r="2500">
      <c r="A2500" s="23" t="s">
        <v>59</v>
      </c>
    </row>
    <row r="2501">
      <c r="A2501" s="23" t="s">
        <v>109</v>
      </c>
    </row>
    <row r="2502">
      <c r="A2502" s="23" t="s">
        <v>160</v>
      </c>
    </row>
    <row r="2503">
      <c r="A2503" s="23" t="s">
        <v>139</v>
      </c>
    </row>
    <row r="2504">
      <c r="A2504" s="23" t="s">
        <v>147</v>
      </c>
    </row>
    <row r="2505">
      <c r="A2505" s="23" t="s">
        <v>64</v>
      </c>
    </row>
    <row r="2506">
      <c r="A2506" s="23" t="s">
        <v>15</v>
      </c>
    </row>
    <row r="2507">
      <c r="A2507" s="23" t="s">
        <v>49</v>
      </c>
    </row>
    <row r="2508">
      <c r="A2508" s="23" t="s">
        <v>62</v>
      </c>
    </row>
    <row r="2509">
      <c r="A2509" s="23" t="s">
        <v>24</v>
      </c>
    </row>
    <row r="2510">
      <c r="A2510" s="23" t="s">
        <v>152</v>
      </c>
    </row>
    <row r="2511">
      <c r="A2511" s="23" t="s">
        <v>92</v>
      </c>
    </row>
    <row r="2512">
      <c r="A2512" s="23" t="s">
        <v>41</v>
      </c>
    </row>
    <row r="2513">
      <c r="A2513" s="23" t="s">
        <v>32</v>
      </c>
    </row>
    <row r="2514">
      <c r="A2514" s="23" t="s">
        <v>43</v>
      </c>
    </row>
    <row r="2515">
      <c r="A2515" s="23" t="s">
        <v>158</v>
      </c>
    </row>
    <row r="2516">
      <c r="A2516" s="23" t="s">
        <v>81</v>
      </c>
    </row>
    <row r="2517">
      <c r="A2517" s="23" t="s">
        <v>132</v>
      </c>
    </row>
    <row r="2518">
      <c r="A2518" s="23" t="s">
        <v>34</v>
      </c>
    </row>
    <row r="2519">
      <c r="A2519" s="23" t="s">
        <v>135</v>
      </c>
    </row>
    <row r="2520">
      <c r="A2520" s="23" t="s">
        <v>160</v>
      </c>
    </row>
    <row r="2521">
      <c r="A2521" s="23" t="s">
        <v>139</v>
      </c>
    </row>
    <row r="2522">
      <c r="A2522" s="23" t="s">
        <v>147</v>
      </c>
    </row>
    <row r="2523">
      <c r="A2523" s="23" t="s">
        <v>64</v>
      </c>
    </row>
    <row r="2524">
      <c r="A2524" s="23" t="s">
        <v>49</v>
      </c>
    </row>
    <row r="2525">
      <c r="A2525" s="23" t="s">
        <v>62</v>
      </c>
    </row>
    <row r="2526">
      <c r="A2526" s="23" t="s">
        <v>152</v>
      </c>
    </row>
    <row r="2527">
      <c r="A2527" s="23" t="s">
        <v>32</v>
      </c>
    </row>
    <row r="2528">
      <c r="A2528" s="23" t="s">
        <v>47</v>
      </c>
    </row>
    <row r="2529">
      <c r="A2529" s="23" t="s">
        <v>85</v>
      </c>
    </row>
    <row r="2530">
      <c r="A2530" s="23" t="s">
        <v>81</v>
      </c>
    </row>
    <row r="2531">
      <c r="A2531" s="23" t="s">
        <v>135</v>
      </c>
    </row>
    <row r="2532">
      <c r="A2532" s="23" t="s">
        <v>160</v>
      </c>
    </row>
    <row r="2533">
      <c r="A2533" s="23" t="s">
        <v>139</v>
      </c>
    </row>
    <row r="2534">
      <c r="A2534" s="23" t="s">
        <v>147</v>
      </c>
    </row>
    <row r="2535">
      <c r="A2535" s="23" t="s">
        <v>64</v>
      </c>
    </row>
    <row r="2536">
      <c r="A2536" s="23" t="s">
        <v>49</v>
      </c>
    </row>
    <row r="2537">
      <c r="A2537" s="23" t="s">
        <v>62</v>
      </c>
    </row>
    <row r="2538">
      <c r="A2538" s="23" t="s">
        <v>152</v>
      </c>
    </row>
    <row r="2539">
      <c r="A2539" s="23" t="s">
        <v>92</v>
      </c>
    </row>
    <row r="2540">
      <c r="A2540" s="23" t="s">
        <v>47</v>
      </c>
    </row>
    <row r="2541">
      <c r="A2541" s="23" t="s">
        <v>85</v>
      </c>
    </row>
    <row r="2542">
      <c r="A2542" s="23" t="s">
        <v>132</v>
      </c>
    </row>
    <row r="2543">
      <c r="A2543" s="23" t="s">
        <v>135</v>
      </c>
    </row>
    <row r="2544">
      <c r="A2544" s="23" t="s">
        <v>160</v>
      </c>
    </row>
    <row r="2545">
      <c r="A2545" s="23" t="s">
        <v>139</v>
      </c>
    </row>
    <row r="2546">
      <c r="A2546" s="23" t="s">
        <v>147</v>
      </c>
    </row>
    <row r="2547">
      <c r="A2547" s="23" t="s">
        <v>26</v>
      </c>
    </row>
    <row r="2548">
      <c r="A2548" s="23" t="s">
        <v>92</v>
      </c>
    </row>
    <row r="2549">
      <c r="A2549" s="23" t="s">
        <v>85</v>
      </c>
    </row>
    <row r="2550">
      <c r="A2550" s="23" t="s">
        <v>69</v>
      </c>
    </row>
    <row r="2551">
      <c r="A2551" s="23" t="s">
        <v>132</v>
      </c>
    </row>
    <row r="2552">
      <c r="A2552" s="23" t="s">
        <v>119</v>
      </c>
    </row>
    <row r="2553">
      <c r="A2553" s="23" t="s">
        <v>28</v>
      </c>
    </row>
    <row r="2554">
      <c r="A2554" s="23" t="s">
        <v>45</v>
      </c>
    </row>
    <row r="2555">
      <c r="A2555" s="23" t="s">
        <v>85</v>
      </c>
    </row>
    <row r="2556">
      <c r="A2556" s="23" t="s">
        <v>77</v>
      </c>
    </row>
    <row r="2557">
      <c r="A2557" s="23" t="s">
        <v>69</v>
      </c>
    </row>
    <row r="2558">
      <c r="A2558" s="23" t="s">
        <v>119</v>
      </c>
    </row>
    <row r="2559">
      <c r="A2559" s="23" t="s">
        <v>28</v>
      </c>
    </row>
    <row r="2560">
      <c r="A2560" s="23" t="s">
        <v>15</v>
      </c>
    </row>
    <row r="2561">
      <c r="A2561" s="23" t="s">
        <v>163</v>
      </c>
    </row>
    <row r="2562">
      <c r="A2562" s="23" t="s">
        <v>45</v>
      </c>
    </row>
    <row r="2563">
      <c r="A2563" s="23" t="s">
        <v>41</v>
      </c>
    </row>
    <row r="2564">
      <c r="A2564" s="23" t="s">
        <v>77</v>
      </c>
    </row>
    <row r="2565">
      <c r="A2565" s="23" t="s">
        <v>12</v>
      </c>
    </row>
    <row r="2566">
      <c r="A2566" s="23" t="s">
        <v>62</v>
      </c>
    </row>
    <row r="2567">
      <c r="A2567" s="23" t="s">
        <v>163</v>
      </c>
    </row>
    <row r="2568">
      <c r="A2568" s="23" t="s">
        <v>45</v>
      </c>
    </row>
    <row r="2569">
      <c r="A2569" s="23" t="s">
        <v>81</v>
      </c>
    </row>
    <row r="2570">
      <c r="A2570" s="23" t="s">
        <v>12</v>
      </c>
    </row>
    <row r="2571">
      <c r="A2571" s="23" t="s">
        <v>28</v>
      </c>
    </row>
    <row r="2572">
      <c r="A2572" s="23" t="s">
        <v>163</v>
      </c>
    </row>
    <row r="2573">
      <c r="A2573" s="23" t="s">
        <v>45</v>
      </c>
    </row>
    <row r="2574">
      <c r="A2574" s="23" t="s">
        <v>41</v>
      </c>
    </row>
    <row r="2575">
      <c r="A2575" s="23" t="s">
        <v>158</v>
      </c>
    </row>
    <row r="2576">
      <c r="A2576" s="23" t="s">
        <v>69</v>
      </c>
    </row>
    <row r="2577">
      <c r="A2577" s="23" t="s">
        <v>81</v>
      </c>
    </row>
    <row r="2578">
      <c r="A2578" s="23" t="s">
        <v>119</v>
      </c>
    </row>
    <row r="2579">
      <c r="A2579" s="23" t="s">
        <v>147</v>
      </c>
    </row>
    <row r="2580">
      <c r="A2580" s="23" t="s">
        <v>49</v>
      </c>
    </row>
    <row r="2581">
      <c r="A2581" s="23" t="s">
        <v>62</v>
      </c>
    </row>
    <row r="2582">
      <c r="A2582" s="23" t="s">
        <v>24</v>
      </c>
    </row>
    <row r="2583">
      <c r="A2583" s="23" t="s">
        <v>152</v>
      </c>
    </row>
    <row r="2584">
      <c r="A2584" s="23" t="s">
        <v>45</v>
      </c>
    </row>
    <row r="2585">
      <c r="A2585" s="23" t="s">
        <v>41</v>
      </c>
    </row>
    <row r="2586">
      <c r="A2586" s="23" t="s">
        <v>158</v>
      </c>
    </row>
    <row r="2587">
      <c r="A2587" s="23" t="s">
        <v>77</v>
      </c>
    </row>
    <row r="2588">
      <c r="A2588" s="23" t="s">
        <v>81</v>
      </c>
    </row>
    <row r="2589">
      <c r="A2589" s="23" t="s">
        <v>119</v>
      </c>
    </row>
    <row r="2590">
      <c r="A2590" s="23" t="s">
        <v>147</v>
      </c>
    </row>
    <row r="2591">
      <c r="A2591" s="23" t="s">
        <v>28</v>
      </c>
    </row>
    <row r="2592">
      <c r="A2592" s="23" t="s">
        <v>62</v>
      </c>
    </row>
    <row r="2593">
      <c r="A2593" s="23" t="s">
        <v>163</v>
      </c>
    </row>
    <row r="2594">
      <c r="A2594" s="23" t="s">
        <v>24</v>
      </c>
    </row>
    <row r="2595">
      <c r="A2595" s="23" t="s">
        <v>152</v>
      </c>
    </row>
    <row r="2596">
      <c r="A2596" s="23" t="s">
        <v>41</v>
      </c>
    </row>
    <row r="2597">
      <c r="A2597" s="23" t="s">
        <v>158</v>
      </c>
    </row>
    <row r="2598">
      <c r="A2598" s="23" t="s">
        <v>77</v>
      </c>
    </row>
    <row r="2599">
      <c r="A2599" s="23" t="s">
        <v>69</v>
      </c>
    </row>
    <row r="2600">
      <c r="A2600" s="23" t="s">
        <v>81</v>
      </c>
    </row>
    <row r="2601">
      <c r="A2601" s="23" t="s">
        <v>109</v>
      </c>
    </row>
    <row r="2602">
      <c r="A2602" s="23" t="s">
        <v>119</v>
      </c>
    </row>
    <row r="2603">
      <c r="A2603" s="23" t="s">
        <v>12</v>
      </c>
    </row>
    <row r="2604">
      <c r="A2604" s="23" t="s">
        <v>147</v>
      </c>
    </row>
    <row r="2605">
      <c r="A2605" s="23" t="s">
        <v>28</v>
      </c>
    </row>
    <row r="2606">
      <c r="A2606" s="23" t="s">
        <v>15</v>
      </c>
    </row>
    <row r="2607">
      <c r="A2607" s="23" t="s">
        <v>62</v>
      </c>
    </row>
    <row r="2608">
      <c r="A2608" s="23" t="s">
        <v>163</v>
      </c>
    </row>
    <row r="2609">
      <c r="A2609" s="23" t="s">
        <v>24</v>
      </c>
    </row>
    <row r="2610">
      <c r="A2610" s="23" t="s">
        <v>154</v>
      </c>
    </row>
    <row r="2611">
      <c r="A2611" s="23" t="s">
        <v>158</v>
      </c>
    </row>
    <row r="2612">
      <c r="A2612" s="23" t="s">
        <v>77</v>
      </c>
    </row>
    <row r="2613">
      <c r="A2613" s="23" t="s">
        <v>81</v>
      </c>
    </row>
    <row r="2614">
      <c r="A2614" s="23" t="s">
        <v>109</v>
      </c>
    </row>
    <row r="2615">
      <c r="A2615" s="23" t="s">
        <v>119</v>
      </c>
    </row>
    <row r="2616">
      <c r="A2616" s="23" t="s">
        <v>147</v>
      </c>
    </row>
    <row r="2617">
      <c r="A2617" s="23" t="s">
        <v>28</v>
      </c>
    </row>
    <row r="2618">
      <c r="A2618" s="23" t="s">
        <v>15</v>
      </c>
    </row>
    <row r="2619">
      <c r="A2619" s="23" t="s">
        <v>62</v>
      </c>
    </row>
    <row r="2620">
      <c r="A2620" s="23" t="s">
        <v>163</v>
      </c>
    </row>
    <row r="2621">
      <c r="A2621" s="23" t="s">
        <v>152</v>
      </c>
    </row>
    <row r="2622">
      <c r="A2622" s="23" t="s">
        <v>154</v>
      </c>
    </row>
    <row r="2623">
      <c r="A2623" s="23" t="s">
        <v>41</v>
      </c>
    </row>
    <row r="2624">
      <c r="A2624" s="23" t="s">
        <v>32</v>
      </c>
    </row>
    <row r="2625">
      <c r="A2625" s="23" t="s">
        <v>43</v>
      </c>
    </row>
    <row r="2626">
      <c r="A2626" s="23" t="s">
        <v>77</v>
      </c>
    </row>
    <row r="2627">
      <c r="A2627" s="23" t="s">
        <v>69</v>
      </c>
    </row>
    <row r="2628">
      <c r="A2628" s="23" t="s">
        <v>81</v>
      </c>
    </row>
    <row r="2629">
      <c r="A2629" s="23" t="s">
        <v>34</v>
      </c>
    </row>
    <row r="2630">
      <c r="A2630" s="23" t="s">
        <v>99</v>
      </c>
    </row>
    <row r="2631">
      <c r="A2631" s="23" t="s">
        <v>59</v>
      </c>
    </row>
    <row r="2632">
      <c r="A2632" s="23" t="s">
        <v>109</v>
      </c>
    </row>
    <row r="2633">
      <c r="A2633" s="23" t="s">
        <v>160</v>
      </c>
    </row>
    <row r="2634">
      <c r="A2634" s="23" t="s">
        <v>12</v>
      </c>
    </row>
    <row r="2635">
      <c r="A2635" s="23" t="s">
        <v>139</v>
      </c>
    </row>
    <row r="2636">
      <c r="A2636" s="23" t="s">
        <v>147</v>
      </c>
    </row>
    <row r="2637">
      <c r="A2637" s="23" t="s">
        <v>64</v>
      </c>
    </row>
    <row r="2638">
      <c r="A2638" s="23" t="s">
        <v>28</v>
      </c>
    </row>
    <row r="2639">
      <c r="A2639" s="23" t="s">
        <v>15</v>
      </c>
    </row>
    <row r="2640">
      <c r="A2640" s="23" t="s">
        <v>137</v>
      </c>
    </row>
    <row r="2641">
      <c r="A2641" s="23" t="s">
        <v>62</v>
      </c>
    </row>
    <row r="2642">
      <c r="A2642" s="23" t="s">
        <v>163</v>
      </c>
    </row>
    <row r="2643">
      <c r="A2643" s="23" t="s">
        <v>45</v>
      </c>
    </row>
    <row r="2644">
      <c r="A2644" s="23" t="s">
        <v>154</v>
      </c>
    </row>
    <row r="2645">
      <c r="A2645" s="23" t="s">
        <v>41</v>
      </c>
    </row>
    <row r="2646">
      <c r="A2646" s="23" t="s">
        <v>32</v>
      </c>
    </row>
    <row r="2647">
      <c r="A2647" s="23" t="s">
        <v>43</v>
      </c>
    </row>
    <row r="2648">
      <c r="A2648" s="23" t="s">
        <v>158</v>
      </c>
    </row>
    <row r="2649">
      <c r="A2649" s="23" t="s">
        <v>77</v>
      </c>
    </row>
    <row r="2650">
      <c r="A2650" s="23" t="s">
        <v>81</v>
      </c>
    </row>
    <row r="2651">
      <c r="A2651" s="23" t="s">
        <v>34</v>
      </c>
    </row>
    <row r="2652">
      <c r="A2652" s="23" t="s">
        <v>160</v>
      </c>
    </row>
    <row r="2653">
      <c r="A2653" s="23" t="s">
        <v>139</v>
      </c>
    </row>
    <row r="2654">
      <c r="A2654" s="23" t="s">
        <v>147</v>
      </c>
    </row>
    <row r="2655">
      <c r="A2655" s="23" t="s">
        <v>64</v>
      </c>
    </row>
    <row r="2656">
      <c r="A2656" s="23" t="s">
        <v>28</v>
      </c>
    </row>
    <row r="2657">
      <c r="A2657" s="23" t="s">
        <v>49</v>
      </c>
    </row>
    <row r="2658">
      <c r="A2658" s="23" t="s">
        <v>62</v>
      </c>
    </row>
    <row r="2659">
      <c r="A2659" s="23" t="s">
        <v>152</v>
      </c>
    </row>
    <row r="2660">
      <c r="A2660" s="23" t="s">
        <v>45</v>
      </c>
    </row>
    <row r="2661">
      <c r="A2661" s="23" t="s">
        <v>154</v>
      </c>
    </row>
    <row r="2662">
      <c r="A2662" s="23" t="s">
        <v>41</v>
      </c>
    </row>
    <row r="2663">
      <c r="A2663" s="23" t="s">
        <v>32</v>
      </c>
    </row>
    <row r="2664">
      <c r="A2664" s="23" t="s">
        <v>158</v>
      </c>
    </row>
    <row r="2665">
      <c r="A2665" s="23" t="s">
        <v>69</v>
      </c>
    </row>
    <row r="2666">
      <c r="A2666" s="23" t="s">
        <v>81</v>
      </c>
    </row>
    <row r="2667">
      <c r="A2667" s="23" t="s">
        <v>34</v>
      </c>
    </row>
    <row r="2668">
      <c r="A2668" s="23" t="s">
        <v>99</v>
      </c>
    </row>
    <row r="2669">
      <c r="A2669" s="23" t="s">
        <v>59</v>
      </c>
    </row>
    <row r="2670">
      <c r="A2670" s="23" t="s">
        <v>160</v>
      </c>
    </row>
    <row r="2671">
      <c r="A2671" s="23" t="s">
        <v>12</v>
      </c>
    </row>
    <row r="2672">
      <c r="A2672" s="23" t="s">
        <v>139</v>
      </c>
    </row>
    <row r="2673">
      <c r="A2673" s="23" t="s">
        <v>147</v>
      </c>
    </row>
    <row r="2674">
      <c r="A2674" s="23" t="s">
        <v>64</v>
      </c>
    </row>
    <row r="2675">
      <c r="A2675" s="23" t="s">
        <v>49</v>
      </c>
    </row>
    <row r="2676">
      <c r="A2676" s="23" t="s">
        <v>62</v>
      </c>
    </row>
    <row r="2677">
      <c r="A2677" s="23" t="s">
        <v>152</v>
      </c>
    </row>
    <row r="2678">
      <c r="A2678" s="23" t="s">
        <v>154</v>
      </c>
    </row>
    <row r="2679">
      <c r="A2679" s="23" t="s">
        <v>43</v>
      </c>
    </row>
    <row r="2680">
      <c r="A2680" s="23" t="s">
        <v>81</v>
      </c>
    </row>
    <row r="2681">
      <c r="A2681" s="23" t="s">
        <v>99</v>
      </c>
    </row>
    <row r="2682">
      <c r="A2682" s="23" t="s">
        <v>135</v>
      </c>
    </row>
    <row r="2683">
      <c r="A2683" s="23" t="s">
        <v>59</v>
      </c>
    </row>
    <row r="2684">
      <c r="A2684" s="23" t="s">
        <v>160</v>
      </c>
    </row>
    <row r="2685">
      <c r="A2685" s="23" t="s">
        <v>139</v>
      </c>
    </row>
    <row r="2686">
      <c r="A2686" s="23" t="s">
        <v>147</v>
      </c>
    </row>
    <row r="2687">
      <c r="A2687" s="23" t="s">
        <v>64</v>
      </c>
    </row>
    <row r="2688">
      <c r="A2688" s="23" t="s">
        <v>62</v>
      </c>
    </row>
    <row r="2689">
      <c r="A2689" s="23" t="s">
        <v>152</v>
      </c>
    </row>
    <row r="2690">
      <c r="A2690" s="23" t="s">
        <v>92</v>
      </c>
    </row>
    <row r="2691">
      <c r="A2691" s="23" t="s">
        <v>43</v>
      </c>
    </row>
    <row r="2692">
      <c r="A2692" s="23" t="s">
        <v>47</v>
      </c>
    </row>
    <row r="2693">
      <c r="A2693" s="23" t="s">
        <v>30</v>
      </c>
    </row>
    <row r="2694">
      <c r="A2694" s="23" t="s">
        <v>85</v>
      </c>
    </row>
    <row r="2695">
      <c r="A2695" s="23" t="s">
        <v>81</v>
      </c>
    </row>
    <row r="2696">
      <c r="A2696" s="23" t="s">
        <v>132</v>
      </c>
    </row>
    <row r="2697">
      <c r="A2697" s="23" t="s">
        <v>99</v>
      </c>
    </row>
    <row r="2698">
      <c r="A2698" s="23" t="s">
        <v>57</v>
      </c>
    </row>
    <row r="2699">
      <c r="A2699" s="23" t="s">
        <v>160</v>
      </c>
    </row>
    <row r="2700">
      <c r="A2700" s="23" t="s">
        <v>139</v>
      </c>
    </row>
    <row r="2701">
      <c r="A2701" s="23" t="s">
        <v>147</v>
      </c>
    </row>
    <row r="2702">
      <c r="A2702" s="23" t="s">
        <v>62</v>
      </c>
    </row>
    <row r="2703">
      <c r="A2703" s="23" t="s">
        <v>92</v>
      </c>
    </row>
    <row r="2704">
      <c r="A2704" s="23" t="s">
        <v>43</v>
      </c>
    </row>
    <row r="2705">
      <c r="A2705" s="23" t="s">
        <v>47</v>
      </c>
    </row>
    <row r="2706">
      <c r="A2706" s="23" t="s">
        <v>85</v>
      </c>
    </row>
    <row r="2707">
      <c r="A2707" s="23" t="s">
        <v>81</v>
      </c>
    </row>
    <row r="2708">
      <c r="A2708" s="23" t="s">
        <v>132</v>
      </c>
    </row>
    <row r="2709">
      <c r="A2709" s="23" t="s">
        <v>135</v>
      </c>
    </row>
    <row r="2710">
      <c r="A2710" s="23" t="s">
        <v>160</v>
      </c>
    </row>
    <row r="2711">
      <c r="A2711" s="23" t="s">
        <v>139</v>
      </c>
    </row>
    <row r="2712">
      <c r="A2712" s="23" t="s">
        <v>62</v>
      </c>
    </row>
    <row r="2713">
      <c r="A2713" s="23" t="s">
        <v>152</v>
      </c>
    </row>
    <row r="2714">
      <c r="A2714" s="23" t="s">
        <v>92</v>
      </c>
    </row>
    <row r="2715">
      <c r="A2715" s="23" t="s">
        <v>158</v>
      </c>
    </row>
    <row r="2716">
      <c r="A2716" s="23" t="s">
        <v>47</v>
      </c>
    </row>
    <row r="2717">
      <c r="A2717" s="23" t="s">
        <v>85</v>
      </c>
    </row>
    <row r="2718">
      <c r="A2718" s="23" t="s">
        <v>132</v>
      </c>
    </row>
    <row r="2719">
      <c r="A2719" s="23" t="s">
        <v>135</v>
      </c>
    </row>
    <row r="2720">
      <c r="A2720" s="23" t="s">
        <v>139</v>
      </c>
    </row>
    <row r="2721">
      <c r="A2721" s="23" t="s">
        <v>26</v>
      </c>
    </row>
    <row r="2722">
      <c r="A2722" s="23" t="s">
        <v>62</v>
      </c>
    </row>
    <row r="2723">
      <c r="A2723" s="23" t="s">
        <v>152</v>
      </c>
    </row>
    <row r="2724">
      <c r="A2724" s="23" t="s">
        <v>92</v>
      </c>
    </row>
    <row r="2725">
      <c r="A2725" s="23" t="s">
        <v>158</v>
      </c>
    </row>
    <row r="2726">
      <c r="A2726" s="23" t="s">
        <v>47</v>
      </c>
    </row>
    <row r="2727">
      <c r="A2727" s="23" t="s">
        <v>85</v>
      </c>
    </row>
    <row r="2728">
      <c r="A2728" s="23" t="s">
        <v>132</v>
      </c>
    </row>
    <row r="2729">
      <c r="A2729" s="23" t="s">
        <v>135</v>
      </c>
    </row>
    <row r="2730">
      <c r="A2730" s="23" t="s">
        <v>139</v>
      </c>
    </row>
    <row r="2731">
      <c r="A2731" s="23" t="s">
        <v>26</v>
      </c>
    </row>
    <row r="2732">
      <c r="A2732" s="23" t="s">
        <v>62</v>
      </c>
    </row>
    <row r="2733">
      <c r="A2733" s="23" t="s">
        <v>152</v>
      </c>
    </row>
    <row r="2734">
      <c r="A2734" s="23" t="s">
        <v>92</v>
      </c>
    </row>
    <row r="2735">
      <c r="A2735" s="23" t="s">
        <v>85</v>
      </c>
    </row>
    <row r="2736">
      <c r="A2736" s="23" t="s">
        <v>132</v>
      </c>
    </row>
    <row r="2737">
      <c r="A2737" s="23" t="s">
        <v>135</v>
      </c>
    </row>
    <row r="2738">
      <c r="A2738" s="23" t="s">
        <v>139</v>
      </c>
    </row>
    <row r="2739">
      <c r="A2739" s="23" t="s">
        <v>26</v>
      </c>
    </row>
    <row r="2740">
      <c r="A2740" s="23" t="s">
        <v>28</v>
      </c>
    </row>
    <row r="2741">
      <c r="A2741" s="23" t="s">
        <v>62</v>
      </c>
    </row>
    <row r="2742">
      <c r="A2742" s="23" t="s">
        <v>45</v>
      </c>
    </row>
    <row r="2743">
      <c r="A2743" s="23" t="s">
        <v>43</v>
      </c>
    </row>
    <row r="2744">
      <c r="A2744" s="23" t="s">
        <v>158</v>
      </c>
    </row>
    <row r="2745">
      <c r="A2745" s="23" t="s">
        <v>85</v>
      </c>
    </row>
    <row r="2746">
      <c r="A2746" s="23" t="s">
        <v>69</v>
      </c>
    </row>
    <row r="2747">
      <c r="A2747" s="23" t="s">
        <v>81</v>
      </c>
    </row>
    <row r="2748">
      <c r="A2748" s="23" t="s">
        <v>132</v>
      </c>
    </row>
    <row r="2749">
      <c r="A2749" s="23" t="s">
        <v>135</v>
      </c>
    </row>
    <row r="2750">
      <c r="A2750" s="23" t="s">
        <v>160</v>
      </c>
    </row>
    <row r="2751">
      <c r="A2751" s="23" t="s">
        <v>139</v>
      </c>
    </row>
    <row r="2752">
      <c r="A2752" s="23" t="s">
        <v>28</v>
      </c>
    </row>
    <row r="2753">
      <c r="A2753" s="23" t="s">
        <v>45</v>
      </c>
    </row>
    <row r="2754">
      <c r="A2754" s="23" t="s">
        <v>43</v>
      </c>
    </row>
    <row r="2755">
      <c r="A2755" s="23" t="s">
        <v>85</v>
      </c>
    </row>
    <row r="2756">
      <c r="A2756" s="23" t="s">
        <v>69</v>
      </c>
    </row>
    <row r="2757">
      <c r="A2757" s="23" t="s">
        <v>81</v>
      </c>
    </row>
    <row r="2758">
      <c r="A2758" s="23" t="s">
        <v>139</v>
      </c>
    </row>
    <row r="2759">
      <c r="A2759" s="23" t="s">
        <v>28</v>
      </c>
    </row>
    <row r="2760">
      <c r="A2760" s="23" t="s">
        <v>45</v>
      </c>
    </row>
    <row r="2761">
      <c r="A2761" s="23" t="s">
        <v>32</v>
      </c>
    </row>
    <row r="2762">
      <c r="A2762" s="23" t="s">
        <v>43</v>
      </c>
    </row>
    <row r="2763">
      <c r="A2763" s="23" t="s">
        <v>69</v>
      </c>
    </row>
    <row r="2764">
      <c r="A2764" s="23" t="s">
        <v>81</v>
      </c>
    </row>
    <row r="2765">
      <c r="A2765" s="23" t="s">
        <v>132</v>
      </c>
    </row>
    <row r="2766">
      <c r="A2766" s="23" t="s">
        <v>34</v>
      </c>
    </row>
    <row r="2767">
      <c r="A2767" s="23" t="s">
        <v>139</v>
      </c>
    </row>
    <row r="2768">
      <c r="A2768" s="23" t="s">
        <v>28</v>
      </c>
    </row>
    <row r="2769">
      <c r="A2769" s="23" t="s">
        <v>163</v>
      </c>
    </row>
    <row r="2770">
      <c r="A2770" s="23" t="s">
        <v>45</v>
      </c>
    </row>
    <row r="2771">
      <c r="A2771" s="23" t="s">
        <v>41</v>
      </c>
    </row>
    <row r="2772">
      <c r="A2772" s="23" t="s">
        <v>81</v>
      </c>
    </row>
    <row r="2773">
      <c r="A2773" s="23" t="s">
        <v>132</v>
      </c>
    </row>
    <row r="2774">
      <c r="A2774" s="23" t="s">
        <v>34</v>
      </c>
    </row>
    <row r="2775">
      <c r="A2775" s="23" t="s">
        <v>160</v>
      </c>
    </row>
    <row r="2776">
      <c r="A2776" s="23" t="s">
        <v>139</v>
      </c>
    </row>
    <row r="2777">
      <c r="A2777" s="23" t="s">
        <v>28</v>
      </c>
    </row>
    <row r="2778">
      <c r="A2778" s="23" t="s">
        <v>163</v>
      </c>
    </row>
    <row r="2779">
      <c r="A2779" s="23" t="s">
        <v>152</v>
      </c>
    </row>
    <row r="2780">
      <c r="A2780" s="23" t="s">
        <v>41</v>
      </c>
    </row>
    <row r="2781">
      <c r="A2781" s="23" t="s">
        <v>32</v>
      </c>
    </row>
    <row r="2782">
      <c r="A2782" s="23" t="s">
        <v>43</v>
      </c>
    </row>
    <row r="2783">
      <c r="A2783" s="23" t="s">
        <v>158</v>
      </c>
    </row>
    <row r="2784">
      <c r="A2784" s="23" t="s">
        <v>69</v>
      </c>
    </row>
    <row r="2785">
      <c r="A2785" s="23" t="s">
        <v>132</v>
      </c>
    </row>
    <row r="2786">
      <c r="A2786" s="23" t="s">
        <v>99</v>
      </c>
    </row>
    <row r="2787">
      <c r="A2787" s="23" t="s">
        <v>160</v>
      </c>
    </row>
    <row r="2788">
      <c r="A2788" s="23" t="s">
        <v>12</v>
      </c>
    </row>
    <row r="2789">
      <c r="A2789" s="23" t="s">
        <v>147</v>
      </c>
    </row>
    <row r="2790">
      <c r="A2790" s="23" t="s">
        <v>28</v>
      </c>
    </row>
    <row r="2791">
      <c r="A2791" s="23" t="s">
        <v>49</v>
      </c>
    </row>
    <row r="2792">
      <c r="A2792" s="23" t="s">
        <v>62</v>
      </c>
    </row>
    <row r="2793">
      <c r="A2793" s="23" t="s">
        <v>163</v>
      </c>
    </row>
    <row r="2794">
      <c r="A2794" s="23" t="s">
        <v>152</v>
      </c>
    </row>
    <row r="2795">
      <c r="A2795" s="23" t="s">
        <v>32</v>
      </c>
    </row>
    <row r="2796">
      <c r="A2796" s="23" t="s">
        <v>69</v>
      </c>
    </row>
    <row r="2797">
      <c r="A2797" s="23" t="s">
        <v>34</v>
      </c>
    </row>
    <row r="2798">
      <c r="A2798" s="23" t="s">
        <v>119</v>
      </c>
    </row>
    <row r="2799">
      <c r="A2799" s="23" t="s">
        <v>12</v>
      </c>
    </row>
    <row r="2800">
      <c r="A2800" s="23" t="s">
        <v>147</v>
      </c>
    </row>
    <row r="2801">
      <c r="A2801" s="23" t="s">
        <v>28</v>
      </c>
    </row>
    <row r="2802">
      <c r="A2802" s="23" t="s">
        <v>15</v>
      </c>
    </row>
    <row r="2803">
      <c r="A2803" s="23" t="s">
        <v>49</v>
      </c>
    </row>
    <row r="2804">
      <c r="A2804" s="23" t="s">
        <v>83</v>
      </c>
    </row>
    <row r="2805">
      <c r="A2805" s="23" t="s">
        <v>62</v>
      </c>
    </row>
    <row r="2806">
      <c r="A2806" s="23" t="s">
        <v>163</v>
      </c>
    </row>
    <row r="2807">
      <c r="A2807" s="23" t="s">
        <v>152</v>
      </c>
    </row>
    <row r="2808">
      <c r="A2808" s="23" t="s">
        <v>154</v>
      </c>
    </row>
    <row r="2809">
      <c r="A2809" s="23" t="s">
        <v>32</v>
      </c>
    </row>
    <row r="2810">
      <c r="A2810" s="23" t="s">
        <v>34</v>
      </c>
    </row>
    <row r="2811">
      <c r="A2811" s="23" t="s">
        <v>119</v>
      </c>
    </row>
    <row r="2812">
      <c r="A2812" s="23" t="s">
        <v>147</v>
      </c>
    </row>
    <row r="2813">
      <c r="A2813" s="23" t="s">
        <v>15</v>
      </c>
    </row>
    <row r="2814">
      <c r="A2814" s="23" t="s">
        <v>49</v>
      </c>
    </row>
    <row r="2815">
      <c r="A2815" s="23" t="s">
        <v>83</v>
      </c>
    </row>
    <row r="2816">
      <c r="A2816" s="23" t="s">
        <v>163</v>
      </c>
    </row>
    <row r="2817">
      <c r="A2817" s="23" t="s">
        <v>152</v>
      </c>
    </row>
    <row r="2818">
      <c r="A2818" s="23" t="s">
        <v>32</v>
      </c>
    </row>
    <row r="2819">
      <c r="A2819" s="23" t="s">
        <v>43</v>
      </c>
    </row>
    <row r="2820">
      <c r="A2820" s="23" t="s">
        <v>81</v>
      </c>
    </row>
    <row r="2821">
      <c r="A2821" s="23" t="s">
        <v>34</v>
      </c>
    </row>
    <row r="2822">
      <c r="A2822" s="23" t="s">
        <v>119</v>
      </c>
    </row>
    <row r="2823">
      <c r="A2823" s="23" t="s">
        <v>147</v>
      </c>
    </row>
    <row r="2824">
      <c r="A2824" s="23" t="s">
        <v>15</v>
      </c>
    </row>
    <row r="2825">
      <c r="A2825" s="23" t="s">
        <v>49</v>
      </c>
    </row>
    <row r="2826">
      <c r="A2826" s="23" t="s">
        <v>83</v>
      </c>
    </row>
    <row r="2827">
      <c r="A2827" s="23" t="s">
        <v>62</v>
      </c>
    </row>
    <row r="2828">
      <c r="A2828" s="23" t="s">
        <v>152</v>
      </c>
    </row>
    <row r="2829">
      <c r="A2829" s="23" t="s">
        <v>45</v>
      </c>
    </row>
    <row r="2830">
      <c r="A2830" s="23" t="s">
        <v>92</v>
      </c>
    </row>
    <row r="2831">
      <c r="A2831" s="23" t="s">
        <v>154</v>
      </c>
    </row>
    <row r="2832">
      <c r="A2832" s="23" t="s">
        <v>32</v>
      </c>
    </row>
    <row r="2833">
      <c r="A2833" s="23" t="s">
        <v>43</v>
      </c>
    </row>
    <row r="2834">
      <c r="A2834" s="23" t="s">
        <v>30</v>
      </c>
    </row>
    <row r="2835">
      <c r="A2835" s="23" t="s">
        <v>85</v>
      </c>
    </row>
    <row r="2836">
      <c r="A2836" s="23" t="s">
        <v>77</v>
      </c>
    </row>
    <row r="2837">
      <c r="A2837" s="23" t="s">
        <v>81</v>
      </c>
    </row>
    <row r="2838">
      <c r="A2838" s="23" t="s">
        <v>34</v>
      </c>
    </row>
    <row r="2839">
      <c r="A2839" s="23" t="s">
        <v>99</v>
      </c>
    </row>
    <row r="2840">
      <c r="A2840" s="23" t="s">
        <v>109</v>
      </c>
    </row>
    <row r="2841">
      <c r="A2841" s="23" t="s">
        <v>160</v>
      </c>
    </row>
    <row r="2842">
      <c r="A2842" s="23" t="s">
        <v>12</v>
      </c>
    </row>
    <row r="2843">
      <c r="A2843" s="23" t="s">
        <v>139</v>
      </c>
    </row>
    <row r="2844">
      <c r="A2844" s="23" t="s">
        <v>64</v>
      </c>
    </row>
    <row r="2845">
      <c r="A2845" s="23" t="s">
        <v>62</v>
      </c>
    </row>
    <row r="2846">
      <c r="A2846" s="23" t="s">
        <v>152</v>
      </c>
    </row>
    <row r="2847">
      <c r="A2847" s="23" t="s">
        <v>32</v>
      </c>
    </row>
    <row r="2848">
      <c r="A2848" s="23" t="s">
        <v>43</v>
      </c>
    </row>
    <row r="2849">
      <c r="A2849" s="23" t="s">
        <v>85</v>
      </c>
    </row>
    <row r="2850">
      <c r="A2850" s="23" t="s">
        <v>81</v>
      </c>
    </row>
    <row r="2851">
      <c r="A2851" s="23" t="s">
        <v>34</v>
      </c>
    </row>
    <row r="2852">
      <c r="A2852" s="23" t="s">
        <v>57</v>
      </c>
    </row>
    <row r="2853">
      <c r="A2853" s="23" t="s">
        <v>160</v>
      </c>
    </row>
    <row r="2854">
      <c r="A2854" s="23" t="s">
        <v>12</v>
      </c>
    </row>
    <row r="2855">
      <c r="A2855" s="23" t="s">
        <v>139</v>
      </c>
    </row>
    <row r="2856">
      <c r="A2856" s="23" t="s">
        <v>64</v>
      </c>
    </row>
    <row r="2857">
      <c r="A2857" s="23" t="s">
        <v>152</v>
      </c>
    </row>
    <row r="2858">
      <c r="A2858" s="23" t="s">
        <v>154</v>
      </c>
    </row>
    <row r="2859">
      <c r="A2859" s="23" t="s">
        <v>32</v>
      </c>
    </row>
    <row r="2860">
      <c r="A2860" s="23" t="s">
        <v>43</v>
      </c>
    </row>
    <row r="2861">
      <c r="A2861" s="23" t="s">
        <v>158</v>
      </c>
    </row>
    <row r="2862">
      <c r="A2862" s="23" t="s">
        <v>30</v>
      </c>
    </row>
    <row r="2863">
      <c r="A2863" s="23" t="s">
        <v>85</v>
      </c>
    </row>
    <row r="2864">
      <c r="A2864" s="23" t="s">
        <v>81</v>
      </c>
    </row>
    <row r="2865">
      <c r="A2865" s="23" t="s">
        <v>34</v>
      </c>
    </row>
    <row r="2866">
      <c r="A2866" s="23" t="s">
        <v>99</v>
      </c>
    </row>
    <row r="2867">
      <c r="A2867" s="23" t="s">
        <v>135</v>
      </c>
    </row>
    <row r="2868">
      <c r="A2868" s="23" t="s">
        <v>109</v>
      </c>
    </row>
    <row r="2869">
      <c r="A2869" s="23" t="s">
        <v>139</v>
      </c>
    </row>
    <row r="2870">
      <c r="A2870" s="23" t="s">
        <v>64</v>
      </c>
    </row>
    <row r="2871">
      <c r="A2871" s="23" t="s">
        <v>62</v>
      </c>
    </row>
    <row r="2872">
      <c r="A2872" s="23" t="s">
        <v>163</v>
      </c>
    </row>
    <row r="2873">
      <c r="A2873" s="23" t="s">
        <v>24</v>
      </c>
    </row>
    <row r="2874">
      <c r="A2874" s="23" t="s">
        <v>152</v>
      </c>
    </row>
    <row r="2875">
      <c r="A2875" s="23" t="s">
        <v>154</v>
      </c>
    </row>
    <row r="2876">
      <c r="A2876" s="23" t="s">
        <v>47</v>
      </c>
    </row>
    <row r="2877">
      <c r="A2877" s="23" t="s">
        <v>30</v>
      </c>
    </row>
    <row r="2878">
      <c r="A2878" s="23" t="s">
        <v>85</v>
      </c>
    </row>
    <row r="2879">
      <c r="A2879" s="23" t="s">
        <v>81</v>
      </c>
    </row>
    <row r="2880">
      <c r="A2880" s="23" t="s">
        <v>132</v>
      </c>
    </row>
    <row r="2881">
      <c r="A2881" s="23" t="s">
        <v>99</v>
      </c>
    </row>
    <row r="2882">
      <c r="A2882" s="23" t="s">
        <v>135</v>
      </c>
    </row>
    <row r="2883">
      <c r="A2883" s="23" t="s">
        <v>160</v>
      </c>
    </row>
    <row r="2884">
      <c r="A2884" s="23" t="s">
        <v>139</v>
      </c>
    </row>
    <row r="2885">
      <c r="A2885" s="23" t="s">
        <v>64</v>
      </c>
    </row>
    <row r="2886">
      <c r="A2886" s="23" t="s">
        <v>17</v>
      </c>
    </row>
    <row r="2887">
      <c r="A2887" s="23" t="s">
        <v>62</v>
      </c>
    </row>
    <row r="2888">
      <c r="A2888" s="23" t="s">
        <v>152</v>
      </c>
    </row>
    <row r="2889">
      <c r="A2889" s="23" t="s">
        <v>154</v>
      </c>
    </row>
    <row r="2890">
      <c r="A2890" s="23" t="s">
        <v>32</v>
      </c>
    </row>
    <row r="2891">
      <c r="A2891" s="23" t="s">
        <v>47</v>
      </c>
    </row>
    <row r="2892">
      <c r="A2892" s="23" t="s">
        <v>30</v>
      </c>
    </row>
    <row r="2893">
      <c r="A2893" s="23" t="s">
        <v>85</v>
      </c>
    </row>
    <row r="2894">
      <c r="A2894" s="23" t="s">
        <v>81</v>
      </c>
    </row>
    <row r="2895">
      <c r="A2895" s="23" t="s">
        <v>132</v>
      </c>
    </row>
    <row r="2896">
      <c r="A2896" s="23" t="s">
        <v>99</v>
      </c>
    </row>
    <row r="2897">
      <c r="A2897" s="23" t="s">
        <v>135</v>
      </c>
    </row>
    <row r="2898">
      <c r="A2898" s="23" t="s">
        <v>109</v>
      </c>
    </row>
    <row r="2899">
      <c r="A2899" s="23" t="s">
        <v>160</v>
      </c>
    </row>
    <row r="2900">
      <c r="A2900" s="23" t="s">
        <v>139</v>
      </c>
    </row>
    <row r="2901">
      <c r="A2901" s="23" t="s">
        <v>26</v>
      </c>
    </row>
    <row r="2902">
      <c r="A2902" s="23" t="s">
        <v>17</v>
      </c>
    </row>
    <row r="2903">
      <c r="A2903" s="23" t="s">
        <v>62</v>
      </c>
    </row>
    <row r="2904">
      <c r="A2904" s="23" t="s">
        <v>152</v>
      </c>
    </row>
    <row r="2905">
      <c r="A2905" s="23" t="s">
        <v>47</v>
      </c>
    </row>
    <row r="2906">
      <c r="A2906" s="23" t="s">
        <v>85</v>
      </c>
    </row>
    <row r="2907">
      <c r="A2907" s="23" t="s">
        <v>81</v>
      </c>
    </row>
    <row r="2908">
      <c r="A2908" s="23" t="s">
        <v>135</v>
      </c>
    </row>
    <row r="2909">
      <c r="A2909" s="23" t="s">
        <v>57</v>
      </c>
    </row>
    <row r="2910">
      <c r="A2910" s="23" t="s">
        <v>17</v>
      </c>
    </row>
    <row r="2911">
      <c r="A2911" s="23" t="s">
        <v>152</v>
      </c>
    </row>
    <row r="2912">
      <c r="A2912" s="23" t="s">
        <v>47</v>
      </c>
    </row>
    <row r="2913">
      <c r="A2913" s="23" t="s">
        <v>85</v>
      </c>
    </row>
    <row r="2914">
      <c r="A2914" s="23" t="s">
        <v>81</v>
      </c>
    </row>
    <row r="2915">
      <c r="A2915" s="23" t="s">
        <v>132</v>
      </c>
    </row>
    <row r="2916">
      <c r="A2916" s="23" t="s">
        <v>135</v>
      </c>
    </row>
    <row r="2917">
      <c r="A2917" s="23" t="s">
        <v>139</v>
      </c>
    </row>
    <row r="2918">
      <c r="A2918" s="23" t="s">
        <v>28</v>
      </c>
    </row>
    <row r="2919">
      <c r="A2919" s="23" t="s">
        <v>152</v>
      </c>
    </row>
    <row r="2920">
      <c r="A2920" s="23" t="s">
        <v>85</v>
      </c>
    </row>
    <row r="2921">
      <c r="A2921" s="23" t="s">
        <v>132</v>
      </c>
    </row>
    <row r="2922">
      <c r="A2922" s="23" t="s">
        <v>139</v>
      </c>
    </row>
    <row r="2923">
      <c r="A2923" s="23" t="s">
        <v>28</v>
      </c>
    </row>
    <row r="2924">
      <c r="A2924" s="23" t="s">
        <v>45</v>
      </c>
    </row>
    <row r="2925">
      <c r="A2925" s="23" t="s">
        <v>43</v>
      </c>
    </row>
    <row r="2926">
      <c r="A2926" s="23" t="s">
        <v>85</v>
      </c>
    </row>
    <row r="2927">
      <c r="A2927" s="23" t="s">
        <v>132</v>
      </c>
    </row>
    <row r="2928">
      <c r="A2928" s="23" t="s">
        <v>139</v>
      </c>
    </row>
    <row r="2929">
      <c r="A2929" s="23" t="s">
        <v>28</v>
      </c>
    </row>
    <row r="2930">
      <c r="A2930" s="23" t="s">
        <v>62</v>
      </c>
    </row>
    <row r="2931">
      <c r="A2931" s="23" t="s">
        <v>45</v>
      </c>
    </row>
    <row r="2932">
      <c r="A2932" s="23" t="s">
        <v>69</v>
      </c>
    </row>
    <row r="2933">
      <c r="A2933" s="23" t="s">
        <v>81</v>
      </c>
    </row>
    <row r="2934">
      <c r="A2934" s="23" t="s">
        <v>132</v>
      </c>
    </row>
    <row r="2935">
      <c r="A2935" s="23" t="s">
        <v>135</v>
      </c>
    </row>
    <row r="2936">
      <c r="A2936" s="23" t="s">
        <v>139</v>
      </c>
    </row>
    <row r="2937">
      <c r="A2937" s="23" t="s">
        <v>28</v>
      </c>
    </row>
    <row r="2938">
      <c r="A2938" s="23" t="s">
        <v>32</v>
      </c>
    </row>
    <row r="2939">
      <c r="A2939" s="23" t="s">
        <v>81</v>
      </c>
    </row>
    <row r="2940">
      <c r="A2940" s="23" t="s">
        <v>109</v>
      </c>
    </row>
    <row r="2941">
      <c r="A2941" s="23" t="s">
        <v>160</v>
      </c>
    </row>
    <row r="2942">
      <c r="A2942" s="23" t="s">
        <v>139</v>
      </c>
    </row>
    <row r="2943">
      <c r="A2943" s="23" t="s">
        <v>17</v>
      </c>
    </row>
    <row r="2944">
      <c r="A2944" s="23" t="s">
        <v>45</v>
      </c>
    </row>
    <row r="2945">
      <c r="A2945" s="23" t="s">
        <v>41</v>
      </c>
    </row>
    <row r="2946">
      <c r="A2946" s="23" t="s">
        <v>77</v>
      </c>
    </row>
    <row r="2947">
      <c r="A2947" s="23" t="s">
        <v>69</v>
      </c>
    </row>
    <row r="2948">
      <c r="A2948" s="23" t="s">
        <v>160</v>
      </c>
    </row>
    <row r="2949">
      <c r="A2949" s="23" t="s">
        <v>119</v>
      </c>
    </row>
    <row r="2950">
      <c r="A2950" s="23" t="s">
        <v>139</v>
      </c>
    </row>
    <row r="2951">
      <c r="A2951" s="23" t="s">
        <v>28</v>
      </c>
    </row>
    <row r="2952">
      <c r="A2952" s="23" t="s">
        <v>15</v>
      </c>
    </row>
    <row r="2953">
      <c r="A2953" s="23" t="s">
        <v>45</v>
      </c>
    </row>
    <row r="2954">
      <c r="A2954" s="23" t="s">
        <v>154</v>
      </c>
    </row>
    <row r="2955">
      <c r="A2955" s="23" t="s">
        <v>32</v>
      </c>
    </row>
    <row r="2956">
      <c r="A2956" s="23" t="s">
        <v>43</v>
      </c>
    </row>
    <row r="2957">
      <c r="A2957" s="23" t="s">
        <v>77</v>
      </c>
    </row>
    <row r="2958">
      <c r="A2958" s="23" t="s">
        <v>81</v>
      </c>
    </row>
    <row r="2959">
      <c r="A2959" s="23" t="s">
        <v>132</v>
      </c>
    </row>
    <row r="2960">
      <c r="A2960" s="23" t="s">
        <v>34</v>
      </c>
    </row>
    <row r="2961">
      <c r="A2961" s="23" t="s">
        <v>99</v>
      </c>
    </row>
    <row r="2962">
      <c r="A2962" s="23" t="s">
        <v>160</v>
      </c>
    </row>
    <row r="2963">
      <c r="A2963" s="23" t="s">
        <v>119</v>
      </c>
    </row>
    <row r="2964">
      <c r="A2964" s="23" t="s">
        <v>147</v>
      </c>
    </row>
    <row r="2965">
      <c r="A2965" s="23" t="s">
        <v>28</v>
      </c>
    </row>
    <row r="2966">
      <c r="A2966" s="23" t="s">
        <v>49</v>
      </c>
    </row>
    <row r="2967">
      <c r="A2967" s="23" t="s">
        <v>83</v>
      </c>
    </row>
    <row r="2968">
      <c r="A2968" s="23" t="s">
        <v>62</v>
      </c>
    </row>
    <row r="2969">
      <c r="A2969" s="23" t="s">
        <v>152</v>
      </c>
    </row>
    <row r="2970">
      <c r="A2970" s="23" t="s">
        <v>154</v>
      </c>
    </row>
    <row r="2971">
      <c r="A2971" s="23" t="s">
        <v>119</v>
      </c>
    </row>
    <row r="2972">
      <c r="A2972" s="23" t="s">
        <v>147</v>
      </c>
    </row>
    <row r="2973">
      <c r="A2973" s="23" t="s">
        <v>15</v>
      </c>
    </row>
    <row r="2974">
      <c r="A2974" s="23" t="s">
        <v>152</v>
      </c>
    </row>
    <row r="2975">
      <c r="A2975" s="23" t="s">
        <v>45</v>
      </c>
    </row>
    <row r="2976">
      <c r="A2976" s="23" t="s">
        <v>154</v>
      </c>
    </row>
    <row r="2977">
      <c r="A2977" s="23" t="s">
        <v>21</v>
      </c>
    </row>
    <row r="2978">
      <c r="A2978" s="23" t="s">
        <v>32</v>
      </c>
    </row>
    <row r="2979">
      <c r="A2979" s="23" t="s">
        <v>158</v>
      </c>
    </row>
    <row r="2980">
      <c r="A2980" s="23" t="s">
        <v>69</v>
      </c>
    </row>
    <row r="2981">
      <c r="A2981" s="23" t="s">
        <v>96</v>
      </c>
    </row>
    <row r="2982">
      <c r="A2982" s="23" t="s">
        <v>132</v>
      </c>
    </row>
    <row r="2983">
      <c r="A2983" s="23" t="s">
        <v>99</v>
      </c>
    </row>
    <row r="2984">
      <c r="A2984" s="23" t="s">
        <v>12</v>
      </c>
    </row>
    <row r="2985">
      <c r="A2985" s="23" t="s">
        <v>147</v>
      </c>
    </row>
    <row r="2986">
      <c r="A2986" s="23" t="s">
        <v>15</v>
      </c>
    </row>
    <row r="2987">
      <c r="A2987" s="23" t="s">
        <v>49</v>
      </c>
    </row>
    <row r="2988">
      <c r="A2988" s="23" t="s">
        <v>152</v>
      </c>
    </row>
    <row r="2989">
      <c r="A2989" s="23" t="s">
        <v>154</v>
      </c>
    </row>
    <row r="2990">
      <c r="A2990" s="23" t="s">
        <v>32</v>
      </c>
    </row>
    <row r="2991">
      <c r="A2991" s="23" t="s">
        <v>43</v>
      </c>
    </row>
    <row r="2992">
      <c r="A2992" s="23" t="s">
        <v>158</v>
      </c>
    </row>
    <row r="2993">
      <c r="A2993" s="23" t="s">
        <v>113</v>
      </c>
    </row>
    <row r="2994">
      <c r="A2994" s="23" t="s">
        <v>77</v>
      </c>
    </row>
    <row r="2995">
      <c r="A2995" s="23" t="s">
        <v>69</v>
      </c>
    </row>
    <row r="2996">
      <c r="A2996" s="23" t="s">
        <v>81</v>
      </c>
    </row>
    <row r="2997">
      <c r="A2997" s="23" t="s">
        <v>96</v>
      </c>
    </row>
    <row r="2998">
      <c r="A2998" s="23" t="s">
        <v>132</v>
      </c>
    </row>
    <row r="2999">
      <c r="A2999" s="23" t="s">
        <v>34</v>
      </c>
    </row>
    <row r="3000">
      <c r="A3000" s="23" t="s">
        <v>99</v>
      </c>
    </row>
    <row r="3001">
      <c r="A3001" s="23" t="s">
        <v>57</v>
      </c>
    </row>
    <row r="3002">
      <c r="A3002" s="23" t="s">
        <v>160</v>
      </c>
    </row>
    <row r="3003">
      <c r="A3003" s="23" t="s">
        <v>119</v>
      </c>
    </row>
    <row r="3004">
      <c r="A3004" s="23" t="s">
        <v>12</v>
      </c>
    </row>
    <row r="3005">
      <c r="A3005" s="23" t="s">
        <v>139</v>
      </c>
    </row>
    <row r="3006">
      <c r="A3006" s="23" t="s">
        <v>64</v>
      </c>
    </row>
    <row r="3007">
      <c r="A3007" s="23" t="s">
        <v>15</v>
      </c>
    </row>
    <row r="3008">
      <c r="A3008" s="23" t="s">
        <v>137</v>
      </c>
    </row>
    <row r="3009">
      <c r="A3009" s="23" t="s">
        <v>49</v>
      </c>
    </row>
    <row r="3010">
      <c r="A3010" s="23" t="s">
        <v>62</v>
      </c>
    </row>
    <row r="3011">
      <c r="A3011" s="23" t="s">
        <v>152</v>
      </c>
    </row>
    <row r="3012">
      <c r="A3012" s="23" t="s">
        <v>41</v>
      </c>
    </row>
    <row r="3013">
      <c r="A3013" s="23" t="s">
        <v>32</v>
      </c>
    </row>
    <row r="3014">
      <c r="A3014" s="23" t="s">
        <v>43</v>
      </c>
    </row>
    <row r="3015">
      <c r="A3015" s="23" t="s">
        <v>158</v>
      </c>
    </row>
    <row r="3016">
      <c r="A3016" s="23" t="s">
        <v>113</v>
      </c>
    </row>
    <row r="3017">
      <c r="A3017" s="23" t="s">
        <v>77</v>
      </c>
    </row>
    <row r="3018">
      <c r="A3018" s="23" t="s">
        <v>81</v>
      </c>
    </row>
    <row r="3019">
      <c r="A3019" s="23" t="s">
        <v>96</v>
      </c>
    </row>
    <row r="3020">
      <c r="A3020" s="23" t="s">
        <v>132</v>
      </c>
    </row>
    <row r="3021">
      <c r="A3021" s="23" t="s">
        <v>34</v>
      </c>
    </row>
    <row r="3022">
      <c r="A3022" s="23" t="s">
        <v>160</v>
      </c>
    </row>
    <row r="3023">
      <c r="A3023" s="23" t="s">
        <v>12</v>
      </c>
    </row>
    <row r="3024">
      <c r="A3024" s="23" t="s">
        <v>139</v>
      </c>
    </row>
    <row r="3025">
      <c r="A3025" s="23" t="s">
        <v>147</v>
      </c>
    </row>
    <row r="3026">
      <c r="A3026" s="23" t="s">
        <v>64</v>
      </c>
    </row>
    <row r="3027">
      <c r="A3027" s="23" t="s">
        <v>15</v>
      </c>
    </row>
    <row r="3028">
      <c r="A3028" s="23" t="s">
        <v>49</v>
      </c>
    </row>
    <row r="3029">
      <c r="A3029" s="23" t="s">
        <v>83</v>
      </c>
    </row>
    <row r="3030">
      <c r="A3030" s="23" t="s">
        <v>62</v>
      </c>
    </row>
    <row r="3031">
      <c r="A3031" s="23" t="s">
        <v>152</v>
      </c>
    </row>
    <row r="3032">
      <c r="A3032" s="23" t="s">
        <v>32</v>
      </c>
    </row>
    <row r="3033">
      <c r="A3033" s="23" t="s">
        <v>158</v>
      </c>
    </row>
    <row r="3034">
      <c r="A3034" s="23" t="s">
        <v>81</v>
      </c>
    </row>
    <row r="3035">
      <c r="A3035" s="23" t="s">
        <v>96</v>
      </c>
    </row>
    <row r="3036">
      <c r="A3036" s="23" t="s">
        <v>34</v>
      </c>
    </row>
    <row r="3037">
      <c r="A3037" s="23" t="s">
        <v>99</v>
      </c>
    </row>
    <row r="3038">
      <c r="A3038" s="23" t="s">
        <v>160</v>
      </c>
    </row>
    <row r="3039">
      <c r="A3039" s="23" t="s">
        <v>139</v>
      </c>
    </row>
    <row r="3040">
      <c r="A3040" s="23" t="s">
        <v>147</v>
      </c>
    </row>
    <row r="3041">
      <c r="A3041" s="23" t="s">
        <v>64</v>
      </c>
    </row>
    <row r="3042">
      <c r="A3042" s="23" t="s">
        <v>15</v>
      </c>
    </row>
    <row r="3043">
      <c r="A3043" s="23" t="s">
        <v>49</v>
      </c>
    </row>
    <row r="3044">
      <c r="A3044" s="23" t="s">
        <v>83</v>
      </c>
    </row>
    <row r="3045">
      <c r="A3045" s="23" t="s">
        <v>152</v>
      </c>
    </row>
    <row r="3046">
      <c r="A3046" s="23" t="s">
        <v>32</v>
      </c>
    </row>
    <row r="3047">
      <c r="A3047" s="23" t="s">
        <v>43</v>
      </c>
    </row>
    <row r="3048">
      <c r="A3048" s="23" t="s">
        <v>47</v>
      </c>
    </row>
    <row r="3049">
      <c r="A3049" s="23" t="s">
        <v>81</v>
      </c>
    </row>
    <row r="3050">
      <c r="A3050" s="23" t="s">
        <v>132</v>
      </c>
    </row>
    <row r="3051">
      <c r="A3051" s="23" t="s">
        <v>135</v>
      </c>
    </row>
    <row r="3052">
      <c r="A3052" s="23" t="s">
        <v>57</v>
      </c>
    </row>
    <row r="3053">
      <c r="A3053" s="23" t="s">
        <v>160</v>
      </c>
    </row>
    <row r="3054">
      <c r="A3054" s="23" t="s">
        <v>139</v>
      </c>
    </row>
    <row r="3055">
      <c r="A3055" s="23" t="s">
        <v>147</v>
      </c>
    </row>
    <row r="3056">
      <c r="A3056" s="23" t="s">
        <v>26</v>
      </c>
    </row>
    <row r="3057">
      <c r="A3057" s="23" t="s">
        <v>62</v>
      </c>
    </row>
    <row r="3058">
      <c r="A3058" s="23" t="s">
        <v>152</v>
      </c>
    </row>
    <row r="3059">
      <c r="A3059" s="23" t="s">
        <v>47</v>
      </c>
    </row>
    <row r="3060">
      <c r="A3060" s="23" t="s">
        <v>132</v>
      </c>
    </row>
    <row r="3061">
      <c r="A3061" s="23" t="s">
        <v>135</v>
      </c>
    </row>
    <row r="3062">
      <c r="A3062" s="23" t="s">
        <v>26</v>
      </c>
    </row>
    <row r="3063">
      <c r="A3063" s="23" t="s">
        <v>28</v>
      </c>
    </row>
    <row r="3064">
      <c r="A3064" s="23" t="s">
        <v>21</v>
      </c>
    </row>
    <row r="3065">
      <c r="A3065" s="23" t="s">
        <v>158</v>
      </c>
    </row>
    <row r="3066">
      <c r="A3066" s="23" t="s">
        <v>85</v>
      </c>
    </row>
    <row r="3067">
      <c r="A3067" s="23" t="s">
        <v>69</v>
      </c>
    </row>
    <row r="3068">
      <c r="A3068" s="23" t="s">
        <v>81</v>
      </c>
    </row>
    <row r="3069">
      <c r="A3069" s="23" t="s">
        <v>132</v>
      </c>
    </row>
    <row r="3070">
      <c r="A3070" s="23" t="s">
        <v>135</v>
      </c>
    </row>
    <row r="3071">
      <c r="A3071" s="23" t="s">
        <v>160</v>
      </c>
    </row>
    <row r="3072">
      <c r="A3072" s="23" t="s">
        <v>139</v>
      </c>
    </row>
    <row r="3073">
      <c r="A3073" s="23" t="s">
        <v>28</v>
      </c>
    </row>
    <row r="3074">
      <c r="A3074" s="23" t="s">
        <v>17</v>
      </c>
    </row>
    <row r="3075">
      <c r="A3075" s="23" t="s">
        <v>45</v>
      </c>
    </row>
    <row r="3076">
      <c r="A3076" s="23" t="s">
        <v>158</v>
      </c>
    </row>
    <row r="3077">
      <c r="A3077" s="23" t="s">
        <v>81</v>
      </c>
    </row>
    <row r="3078">
      <c r="A3078" s="23" t="s">
        <v>132</v>
      </c>
    </row>
    <row r="3079">
      <c r="A3079" s="23" t="s">
        <v>28</v>
      </c>
    </row>
    <row r="3080">
      <c r="A3080" s="23" t="s">
        <v>45</v>
      </c>
    </row>
    <row r="3081">
      <c r="A3081" s="23" t="s">
        <v>41</v>
      </c>
    </row>
    <row r="3082">
      <c r="A3082" s="23" t="s">
        <v>32</v>
      </c>
    </row>
    <row r="3083">
      <c r="A3083" s="23" t="s">
        <v>43</v>
      </c>
    </row>
    <row r="3084">
      <c r="A3084" s="23" t="s">
        <v>158</v>
      </c>
    </row>
    <row r="3085">
      <c r="A3085" s="23" t="s">
        <v>77</v>
      </c>
    </row>
    <row r="3086">
      <c r="A3086" s="23" t="s">
        <v>81</v>
      </c>
    </row>
    <row r="3087">
      <c r="A3087" s="23" t="s">
        <v>34</v>
      </c>
    </row>
    <row r="3088">
      <c r="A3088" s="23" t="s">
        <v>59</v>
      </c>
    </row>
    <row r="3089">
      <c r="A3089" s="23" t="s">
        <v>109</v>
      </c>
    </row>
    <row r="3090">
      <c r="A3090" s="23" t="s">
        <v>12</v>
      </c>
    </row>
    <row r="3091">
      <c r="A3091" s="23" t="s">
        <v>147</v>
      </c>
    </row>
    <row r="3092">
      <c r="A3092" s="23" t="s">
        <v>28</v>
      </c>
    </row>
    <row r="3093">
      <c r="A3093" s="23" t="s">
        <v>17</v>
      </c>
    </row>
    <row r="3094">
      <c r="A3094" s="23" t="s">
        <v>83</v>
      </c>
    </row>
    <row r="3095">
      <c r="A3095" s="23" t="s">
        <v>62</v>
      </c>
    </row>
    <row r="3096">
      <c r="A3096" s="23" t="s">
        <v>152</v>
      </c>
    </row>
    <row r="3097">
      <c r="A3097" s="23" t="s">
        <v>41</v>
      </c>
    </row>
    <row r="3098">
      <c r="A3098" s="23" t="s">
        <v>32</v>
      </c>
    </row>
    <row r="3099">
      <c r="A3099" s="23" t="s">
        <v>158</v>
      </c>
    </row>
    <row r="3100">
      <c r="A3100" s="23" t="s">
        <v>77</v>
      </c>
    </row>
    <row r="3101">
      <c r="A3101" s="23" t="s">
        <v>81</v>
      </c>
    </row>
    <row r="3102">
      <c r="A3102" s="23" t="s">
        <v>96</v>
      </c>
    </row>
    <row r="3103">
      <c r="A3103" s="23" t="s">
        <v>132</v>
      </c>
    </row>
    <row r="3104">
      <c r="A3104" s="23" t="s">
        <v>34</v>
      </c>
    </row>
    <row r="3105">
      <c r="A3105" s="23" t="s">
        <v>119</v>
      </c>
    </row>
    <row r="3106">
      <c r="A3106" s="23" t="s">
        <v>12</v>
      </c>
    </row>
    <row r="3107">
      <c r="A3107" s="23" t="s">
        <v>147</v>
      </c>
    </row>
    <row r="3108">
      <c r="A3108" s="23" t="s">
        <v>28</v>
      </c>
    </row>
    <row r="3109">
      <c r="A3109" s="23" t="s">
        <v>83</v>
      </c>
    </row>
    <row r="3110">
      <c r="A3110" s="23" t="s">
        <v>62</v>
      </c>
    </row>
    <row r="3111">
      <c r="A3111" s="23" t="s">
        <v>41</v>
      </c>
    </row>
    <row r="3112">
      <c r="A3112" s="23" t="s">
        <v>43</v>
      </c>
    </row>
    <row r="3113">
      <c r="A3113" s="23" t="s">
        <v>51</v>
      </c>
    </row>
    <row r="3114">
      <c r="A3114" s="23" t="s">
        <v>158</v>
      </c>
    </row>
    <row r="3115">
      <c r="A3115" s="23" t="s">
        <v>30</v>
      </c>
    </row>
    <row r="3116">
      <c r="A3116" s="23" t="s">
        <v>77</v>
      </c>
    </row>
    <row r="3117">
      <c r="A3117" s="23" t="s">
        <v>81</v>
      </c>
    </row>
    <row r="3118">
      <c r="A3118" s="23" t="s">
        <v>96</v>
      </c>
    </row>
    <row r="3119">
      <c r="A3119" s="23" t="s">
        <v>132</v>
      </c>
    </row>
    <row r="3120">
      <c r="A3120" s="23" t="s">
        <v>59</v>
      </c>
    </row>
    <row r="3121">
      <c r="A3121" s="23" t="s">
        <v>57</v>
      </c>
    </row>
    <row r="3122">
      <c r="A3122" s="23" t="s">
        <v>109</v>
      </c>
    </row>
    <row r="3123">
      <c r="A3123" s="23" t="s">
        <v>160</v>
      </c>
    </row>
    <row r="3124">
      <c r="A3124" s="23" t="s">
        <v>119</v>
      </c>
    </row>
    <row r="3125">
      <c r="A3125" s="23" t="s">
        <v>12</v>
      </c>
    </row>
    <row r="3126">
      <c r="A3126" s="23" t="s">
        <v>139</v>
      </c>
    </row>
    <row r="3127">
      <c r="A3127" s="23" t="s">
        <v>28</v>
      </c>
    </row>
    <row r="3128">
      <c r="A3128" s="23" t="s">
        <v>15</v>
      </c>
    </row>
    <row r="3129">
      <c r="A3129" s="23" t="s">
        <v>137</v>
      </c>
    </row>
    <row r="3130">
      <c r="A3130" s="23" t="s">
        <v>83</v>
      </c>
    </row>
    <row r="3131">
      <c r="A3131" s="23" t="s">
        <v>152</v>
      </c>
    </row>
    <row r="3132">
      <c r="A3132" s="23" t="s">
        <v>45</v>
      </c>
    </row>
    <row r="3133">
      <c r="A3133" s="23" t="s">
        <v>41</v>
      </c>
    </row>
    <row r="3134">
      <c r="A3134" s="23" t="s">
        <v>32</v>
      </c>
    </row>
    <row r="3135">
      <c r="A3135" s="23" t="s">
        <v>51</v>
      </c>
    </row>
    <row r="3136">
      <c r="A3136" s="23" t="s">
        <v>158</v>
      </c>
    </row>
    <row r="3137">
      <c r="A3137" s="23" t="s">
        <v>47</v>
      </c>
    </row>
    <row r="3138">
      <c r="A3138" s="23" t="s">
        <v>81</v>
      </c>
    </row>
    <row r="3139">
      <c r="A3139" s="23" t="s">
        <v>96</v>
      </c>
    </row>
    <row r="3140">
      <c r="A3140" s="23" t="s">
        <v>59</v>
      </c>
    </row>
    <row r="3141">
      <c r="A3141" s="23" t="s">
        <v>57</v>
      </c>
    </row>
    <row r="3142">
      <c r="A3142" s="23" t="s">
        <v>109</v>
      </c>
    </row>
    <row r="3143">
      <c r="A3143" s="23" t="s">
        <v>160</v>
      </c>
    </row>
    <row r="3144">
      <c r="A3144" s="23" t="s">
        <v>12</v>
      </c>
    </row>
    <row r="3145">
      <c r="A3145" s="23" t="s">
        <v>139</v>
      </c>
    </row>
    <row r="3146">
      <c r="A3146" s="23" t="s">
        <v>147</v>
      </c>
    </row>
    <row r="3147">
      <c r="A3147" s="23" t="s">
        <v>26</v>
      </c>
    </row>
    <row r="3148">
      <c r="A3148" s="23" t="s">
        <v>15</v>
      </c>
    </row>
    <row r="3149">
      <c r="A3149" s="23" t="s">
        <v>49</v>
      </c>
    </row>
    <row r="3150">
      <c r="A3150" s="23" t="s">
        <v>83</v>
      </c>
    </row>
    <row r="3151">
      <c r="A3151" s="23" t="s">
        <v>62</v>
      </c>
    </row>
    <row r="3152">
      <c r="A3152" s="23" t="s">
        <v>163</v>
      </c>
    </row>
    <row r="3153">
      <c r="A3153" s="23" t="s">
        <v>152</v>
      </c>
    </row>
    <row r="3154">
      <c r="A3154" s="23" t="s">
        <v>51</v>
      </c>
    </row>
    <row r="3155">
      <c r="A3155" s="23" t="s">
        <v>47</v>
      </c>
    </row>
    <row r="3156">
      <c r="A3156" s="23" t="s">
        <v>85</v>
      </c>
    </row>
    <row r="3157">
      <c r="A3157" s="23" t="s">
        <v>81</v>
      </c>
    </row>
    <row r="3158">
      <c r="A3158" s="23" t="s">
        <v>139</v>
      </c>
    </row>
    <row r="3159">
      <c r="A3159" s="23" t="s">
        <v>147</v>
      </c>
    </row>
    <row r="3160">
      <c r="A3160" s="23" t="s">
        <v>26</v>
      </c>
    </row>
    <row r="3161">
      <c r="A3161" s="23" t="s">
        <v>62</v>
      </c>
    </row>
    <row r="3162">
      <c r="A3162" s="23" t="s">
        <v>163</v>
      </c>
    </row>
    <row r="3163">
      <c r="A3163" s="23" t="s">
        <v>152</v>
      </c>
    </row>
    <row r="3164">
      <c r="A3164" s="23" t="s">
        <v>51</v>
      </c>
    </row>
    <row r="3165">
      <c r="A3165" s="23" t="s">
        <v>47</v>
      </c>
    </row>
    <row r="3166">
      <c r="A3166" s="23" t="s">
        <v>85</v>
      </c>
    </row>
    <row r="3167">
      <c r="A3167" s="23" t="s">
        <v>81</v>
      </c>
    </row>
    <row r="3168">
      <c r="A3168" s="23" t="s">
        <v>135</v>
      </c>
    </row>
    <row r="3169">
      <c r="A3169" s="23" t="s">
        <v>139</v>
      </c>
    </row>
    <row r="3170">
      <c r="A3170" s="23" t="s">
        <v>62</v>
      </c>
    </row>
    <row r="3171">
      <c r="A3171" s="23" t="s">
        <v>163</v>
      </c>
    </row>
    <row r="3172">
      <c r="A3172" s="23" t="s">
        <v>152</v>
      </c>
    </row>
    <row r="3173">
      <c r="A3173" s="23" t="s">
        <v>47</v>
      </c>
    </row>
    <row r="3174">
      <c r="A3174" s="23" t="s">
        <v>85</v>
      </c>
    </row>
    <row r="3175">
      <c r="A3175" s="23" t="s">
        <v>139</v>
      </c>
    </row>
    <row r="3176">
      <c r="A3176" s="23" t="s">
        <v>28</v>
      </c>
    </row>
    <row r="3177">
      <c r="A3177" s="23" t="s">
        <v>85</v>
      </c>
    </row>
    <row r="3178">
      <c r="A3178" s="23" t="s">
        <v>69</v>
      </c>
    </row>
    <row r="3179">
      <c r="A3179" s="23" t="s">
        <v>132</v>
      </c>
    </row>
    <row r="3180">
      <c r="A3180" s="23" t="s">
        <v>119</v>
      </c>
    </row>
    <row r="3181">
      <c r="A3181" s="23" t="s">
        <v>28</v>
      </c>
    </row>
    <row r="3182">
      <c r="A3182" s="23" t="s">
        <v>85</v>
      </c>
    </row>
    <row r="3183">
      <c r="A3183" s="23" t="s">
        <v>69</v>
      </c>
    </row>
    <row r="3184">
      <c r="A3184" s="23" t="s">
        <v>132</v>
      </c>
    </row>
    <row r="3185">
      <c r="A3185" s="23" t="s">
        <v>119</v>
      </c>
    </row>
    <row r="3186">
      <c r="A3186" s="23" t="s">
        <v>28</v>
      </c>
    </row>
    <row r="3187">
      <c r="A3187" s="23" t="s">
        <v>45</v>
      </c>
    </row>
    <row r="3188">
      <c r="A3188" s="23" t="s">
        <v>85</v>
      </c>
    </row>
    <row r="3189">
      <c r="A3189" s="23" t="s">
        <v>77</v>
      </c>
    </row>
    <row r="3190">
      <c r="A3190" s="23" t="s">
        <v>69</v>
      </c>
    </row>
    <row r="3191">
      <c r="A3191" s="23" t="s">
        <v>59</v>
      </c>
    </row>
    <row r="3192">
      <c r="A3192" s="23" t="s">
        <v>160</v>
      </c>
    </row>
    <row r="3193">
      <c r="A3193" s="23" t="s">
        <v>139</v>
      </c>
    </row>
    <row r="3194">
      <c r="A3194" s="23" t="s">
        <v>28</v>
      </c>
    </row>
    <row r="3195">
      <c r="A3195" s="23" t="s">
        <v>163</v>
      </c>
    </row>
    <row r="3196">
      <c r="A3196" s="23" t="s">
        <v>45</v>
      </c>
    </row>
    <row r="3197">
      <c r="A3197" s="23" t="s">
        <v>41</v>
      </c>
    </row>
    <row r="3198">
      <c r="A3198" s="23" t="s">
        <v>51</v>
      </c>
    </row>
    <row r="3199">
      <c r="A3199" s="23" t="s">
        <v>113</v>
      </c>
    </row>
    <row r="3200">
      <c r="A3200" s="23" t="s">
        <v>77</v>
      </c>
    </row>
    <row r="3201">
      <c r="A3201" s="23" t="s">
        <v>132</v>
      </c>
    </row>
    <row r="3202">
      <c r="A3202" s="23" t="s">
        <v>59</v>
      </c>
    </row>
    <row r="3203">
      <c r="A3203" s="23" t="s">
        <v>139</v>
      </c>
    </row>
    <row r="3204">
      <c r="A3204" s="23" t="s">
        <v>28</v>
      </c>
    </row>
    <row r="3205">
      <c r="A3205" s="23" t="s">
        <v>49</v>
      </c>
    </row>
    <row r="3206">
      <c r="A3206" s="23" t="s">
        <v>163</v>
      </c>
    </row>
    <row r="3207">
      <c r="A3207" s="23" t="s">
        <v>41</v>
      </c>
    </row>
    <row r="3208">
      <c r="A3208" s="23" t="s">
        <v>51</v>
      </c>
    </row>
    <row r="3209">
      <c r="A3209" s="23" t="s">
        <v>158</v>
      </c>
    </row>
    <row r="3210">
      <c r="A3210" s="23" t="s">
        <v>30</v>
      </c>
    </row>
    <row r="3211">
      <c r="A3211" s="23" t="s">
        <v>77</v>
      </c>
    </row>
    <row r="3212">
      <c r="A3212" s="23" t="s">
        <v>160</v>
      </c>
    </row>
    <row r="3213">
      <c r="A3213" s="23" t="s">
        <v>119</v>
      </c>
    </row>
    <row r="3214">
      <c r="A3214" s="23" t="s">
        <v>12</v>
      </c>
    </row>
    <row r="3215">
      <c r="A3215" s="23" t="s">
        <v>139</v>
      </c>
    </row>
    <row r="3216">
      <c r="A3216" s="23" t="s">
        <v>147</v>
      </c>
    </row>
    <row r="3217">
      <c r="A3217" s="23" t="s">
        <v>28</v>
      </c>
    </row>
    <row r="3218">
      <c r="A3218" s="23" t="s">
        <v>83</v>
      </c>
    </row>
    <row r="3219">
      <c r="A3219" s="23" t="s">
        <v>62</v>
      </c>
    </row>
    <row r="3220">
      <c r="A3220" s="23" t="s">
        <v>163</v>
      </c>
    </row>
    <row r="3221">
      <c r="A3221" s="23" t="s">
        <v>43</v>
      </c>
    </row>
    <row r="3222">
      <c r="A3222" s="23" t="s">
        <v>158</v>
      </c>
    </row>
    <row r="3223">
      <c r="A3223" s="23" t="s">
        <v>113</v>
      </c>
    </row>
    <row r="3224">
      <c r="A3224" s="23" t="s">
        <v>30</v>
      </c>
    </row>
    <row r="3225">
      <c r="A3225" s="23" t="s">
        <v>77</v>
      </c>
    </row>
    <row r="3226">
      <c r="A3226" s="23" t="s">
        <v>69</v>
      </c>
    </row>
    <row r="3227">
      <c r="A3227" s="23" t="s">
        <v>81</v>
      </c>
    </row>
    <row r="3228">
      <c r="A3228" s="23" t="s">
        <v>132</v>
      </c>
    </row>
    <row r="3229">
      <c r="A3229" s="23" t="s">
        <v>109</v>
      </c>
    </row>
    <row r="3230">
      <c r="A3230" s="23" t="s">
        <v>160</v>
      </c>
    </row>
    <row r="3231">
      <c r="A3231" s="23" t="s">
        <v>119</v>
      </c>
    </row>
    <row r="3232">
      <c r="A3232" s="23" t="s">
        <v>12</v>
      </c>
    </row>
    <row r="3233">
      <c r="A3233" s="23" t="s">
        <v>147</v>
      </c>
    </row>
    <row r="3234">
      <c r="A3234" s="23" t="s">
        <v>64</v>
      </c>
    </row>
    <row r="3235">
      <c r="A3235" s="23" t="s">
        <v>28</v>
      </c>
    </row>
    <row r="3236">
      <c r="A3236" s="23" t="s">
        <v>49</v>
      </c>
    </row>
    <row r="3237">
      <c r="A3237" s="23" t="s">
        <v>83</v>
      </c>
    </row>
    <row r="3238">
      <c r="A3238" s="23" t="s">
        <v>62</v>
      </c>
    </row>
    <row r="3239">
      <c r="A3239" s="23" t="s">
        <v>109</v>
      </c>
    </row>
    <row r="3240">
      <c r="A3240" s="23" t="s">
        <v>163</v>
      </c>
    </row>
    <row r="3241">
      <c r="A3241" s="23" t="s">
        <v>41</v>
      </c>
    </row>
    <row r="3242">
      <c r="A3242" s="23" t="s">
        <v>32</v>
      </c>
    </row>
    <row r="3243">
      <c r="A3243" s="23" t="s">
        <v>43</v>
      </c>
    </row>
    <row r="3244">
      <c r="A3244" s="23" t="s">
        <v>47</v>
      </c>
    </row>
    <row r="3245">
      <c r="A3245" s="23" t="s">
        <v>30</v>
      </c>
    </row>
    <row r="3246">
      <c r="A3246" s="23" t="s">
        <v>81</v>
      </c>
    </row>
    <row r="3247">
      <c r="A3247" s="23" t="s">
        <v>96</v>
      </c>
    </row>
    <row r="3248">
      <c r="A3248" s="23" t="s">
        <v>109</v>
      </c>
    </row>
    <row r="3249">
      <c r="A3249" s="23" t="s">
        <v>160</v>
      </c>
    </row>
    <row r="3250">
      <c r="A3250" s="23" t="s">
        <v>12</v>
      </c>
    </row>
    <row r="3251">
      <c r="A3251" s="23" t="s">
        <v>139</v>
      </c>
    </row>
    <row r="3252">
      <c r="A3252" s="23" t="s">
        <v>64</v>
      </c>
    </row>
    <row r="3253">
      <c r="A3253" s="23" t="s">
        <v>49</v>
      </c>
    </row>
    <row r="3254">
      <c r="A3254" s="23" t="s">
        <v>83</v>
      </c>
    </row>
    <row r="3255">
      <c r="A3255" s="23" t="s">
        <v>62</v>
      </c>
    </row>
    <row r="3256">
      <c r="A3256" s="23" t="s">
        <v>163</v>
      </c>
    </row>
    <row r="3257">
      <c r="A3257" s="23" t="s">
        <v>152</v>
      </c>
    </row>
    <row r="3258">
      <c r="A3258" s="23" t="s">
        <v>92</v>
      </c>
    </row>
    <row r="3259">
      <c r="A3259" s="23" t="s">
        <v>47</v>
      </c>
    </row>
    <row r="3260">
      <c r="A3260" s="23" t="s">
        <v>85</v>
      </c>
    </row>
    <row r="3261">
      <c r="A3261" s="23" t="s">
        <v>135</v>
      </c>
    </row>
    <row r="3262">
      <c r="A3262" s="23" t="s">
        <v>160</v>
      </c>
    </row>
    <row r="3263">
      <c r="A3263" s="23" t="s">
        <v>26</v>
      </c>
    </row>
    <row r="3264">
      <c r="A3264" s="23" t="s">
        <v>62</v>
      </c>
    </row>
    <row r="3265">
      <c r="A3265" s="23" t="s">
        <v>51</v>
      </c>
    </row>
    <row r="3266">
      <c r="A3266" s="23" t="s">
        <v>77</v>
      </c>
    </row>
    <row r="3267">
      <c r="A3267" s="23" t="s">
        <v>69</v>
      </c>
    </row>
    <row r="3268">
      <c r="A3268" s="23" t="s">
        <v>37</v>
      </c>
    </row>
    <row r="3269">
      <c r="A3269" s="23" t="s">
        <v>132</v>
      </c>
    </row>
    <row r="3270">
      <c r="A3270" s="23" t="s">
        <v>160</v>
      </c>
    </row>
    <row r="3271">
      <c r="A3271" s="23" t="s">
        <v>139</v>
      </c>
    </row>
    <row r="3272">
      <c r="A3272" s="23" t="s">
        <v>26</v>
      </c>
    </row>
    <row r="3273">
      <c r="A3273" s="23" t="s">
        <v>64</v>
      </c>
    </row>
    <row r="3274">
      <c r="A3274" s="23" t="s">
        <v>28</v>
      </c>
    </row>
    <row r="3275">
      <c r="A3275" s="23" t="s">
        <v>49</v>
      </c>
    </row>
    <row r="3276">
      <c r="A3276" s="23" t="s">
        <v>45</v>
      </c>
    </row>
    <row r="3277">
      <c r="A3277" s="23" t="s">
        <v>51</v>
      </c>
    </row>
    <row r="3278">
      <c r="A3278" s="23" t="s">
        <v>85</v>
      </c>
    </row>
    <row r="3279">
      <c r="A3279" s="23" t="s">
        <v>77</v>
      </c>
    </row>
    <row r="3280">
      <c r="A3280" s="23" t="s">
        <v>139</v>
      </c>
    </row>
    <row r="3281">
      <c r="A3281" s="23" t="s">
        <v>64</v>
      </c>
    </row>
    <row r="3282">
      <c r="A3282" s="23" t="s">
        <v>28</v>
      </c>
    </row>
    <row r="3283">
      <c r="A3283" s="23" t="s">
        <v>49</v>
      </c>
    </row>
    <row r="3284">
      <c r="A3284" s="23" t="s">
        <v>163</v>
      </c>
    </row>
    <row r="3285">
      <c r="A3285" s="23" t="s">
        <v>152</v>
      </c>
    </row>
    <row r="3286">
      <c r="A3286" s="23" t="s">
        <v>21</v>
      </c>
    </row>
    <row r="3287">
      <c r="A3287" s="23" t="s">
        <v>41</v>
      </c>
    </row>
    <row r="3288">
      <c r="A3288" s="23" t="s">
        <v>77</v>
      </c>
    </row>
    <row r="3289">
      <c r="A3289" s="23" t="s">
        <v>132</v>
      </c>
    </row>
    <row r="3290">
      <c r="A3290" s="23" t="s">
        <v>160</v>
      </c>
    </row>
    <row r="3291">
      <c r="A3291" s="23" t="s">
        <v>139</v>
      </c>
    </row>
    <row r="3292">
      <c r="A3292" s="23" t="s">
        <v>147</v>
      </c>
    </row>
    <row r="3293">
      <c r="A3293" s="23" t="s">
        <v>64</v>
      </c>
    </row>
    <row r="3294">
      <c r="A3294" s="23" t="s">
        <v>28</v>
      </c>
    </row>
    <row r="3295">
      <c r="A3295" s="23" t="s">
        <v>49</v>
      </c>
    </row>
    <row r="3296">
      <c r="A3296" s="23" t="s">
        <v>163</v>
      </c>
    </row>
    <row r="3297">
      <c r="A3297" s="23" t="s">
        <v>24</v>
      </c>
    </row>
    <row r="3298">
      <c r="A3298" s="23" t="s">
        <v>152</v>
      </c>
    </row>
    <row r="3299">
      <c r="A3299" s="23" t="s">
        <v>51</v>
      </c>
    </row>
    <row r="3300">
      <c r="A3300" s="23" t="s">
        <v>77</v>
      </c>
    </row>
    <row r="3301">
      <c r="A3301" s="23" t="s">
        <v>57</v>
      </c>
    </row>
    <row r="3302">
      <c r="A3302" s="23" t="s">
        <v>119</v>
      </c>
    </row>
    <row r="3303">
      <c r="A3303" s="23" t="s">
        <v>64</v>
      </c>
    </row>
    <row r="3304">
      <c r="A3304" s="23" t="s">
        <v>28</v>
      </c>
    </row>
    <row r="3305">
      <c r="A3305" s="23" t="s">
        <v>163</v>
      </c>
    </row>
    <row r="3306">
      <c r="A3306" s="23" t="s">
        <v>152</v>
      </c>
    </row>
    <row r="3307">
      <c r="A3307" s="23" t="s">
        <v>92</v>
      </c>
    </row>
    <row r="3308">
      <c r="A3308" s="23" t="s">
        <v>41</v>
      </c>
    </row>
    <row r="3309">
      <c r="A3309" s="23" t="s">
        <v>43</v>
      </c>
    </row>
    <row r="3310">
      <c r="A3310" s="23" t="s">
        <v>51</v>
      </c>
    </row>
    <row r="3311">
      <c r="A3311" s="23" t="s">
        <v>77</v>
      </c>
    </row>
    <row r="3312">
      <c r="A3312" s="23" t="s">
        <v>81</v>
      </c>
    </row>
    <row r="3313">
      <c r="A3313" s="23" t="s">
        <v>34</v>
      </c>
    </row>
    <row r="3314">
      <c r="A3314" s="23" t="s">
        <v>109</v>
      </c>
    </row>
    <row r="3315">
      <c r="A3315" s="23" t="s">
        <v>119</v>
      </c>
    </row>
    <row r="3316">
      <c r="A3316" s="23" t="s">
        <v>15</v>
      </c>
    </row>
    <row r="3317">
      <c r="A3317" s="23" t="s">
        <v>83</v>
      </c>
    </row>
    <row r="3318">
      <c r="A3318" s="23" t="s">
        <v>152</v>
      </c>
    </row>
    <row r="3319">
      <c r="A3319" s="23" t="s">
        <v>43</v>
      </c>
    </row>
    <row r="3320">
      <c r="A3320" s="23" t="s">
        <v>51</v>
      </c>
    </row>
    <row r="3321">
      <c r="A3321" s="23" t="s">
        <v>158</v>
      </c>
    </row>
    <row r="3322">
      <c r="A3322" s="23" t="s">
        <v>81</v>
      </c>
    </row>
    <row r="3323">
      <c r="A3323" s="23" t="s">
        <v>96</v>
      </c>
    </row>
    <row r="3324">
      <c r="A3324" s="23" t="s">
        <v>59</v>
      </c>
    </row>
    <row r="3325">
      <c r="A3325" s="23" t="s">
        <v>109</v>
      </c>
    </row>
    <row r="3326">
      <c r="A3326" s="23" t="s">
        <v>160</v>
      </c>
    </row>
    <row r="3327">
      <c r="A3327" s="23" t="s">
        <v>139</v>
      </c>
    </row>
    <row r="3328">
      <c r="A3328" s="23" t="s">
        <v>147</v>
      </c>
    </row>
    <row r="3329">
      <c r="A3329" s="23" t="s">
        <v>64</v>
      </c>
    </row>
    <row r="3330">
      <c r="A3330" s="23" t="s">
        <v>28</v>
      </c>
    </row>
    <row r="3331">
      <c r="A3331" s="23" t="s">
        <v>15</v>
      </c>
    </row>
    <row r="3332">
      <c r="A3332" s="23" t="s">
        <v>49</v>
      </c>
    </row>
    <row r="3333">
      <c r="A3333" s="23" t="s">
        <v>83</v>
      </c>
    </row>
    <row r="3334">
      <c r="A3334" s="23" t="s">
        <v>21</v>
      </c>
    </row>
    <row r="3335">
      <c r="A3335" s="23" t="s">
        <v>163</v>
      </c>
    </row>
    <row r="3336">
      <c r="A3336" s="23" t="s">
        <v>24</v>
      </c>
    </row>
    <row r="3337">
      <c r="A3337" s="23" t="s">
        <v>21</v>
      </c>
    </row>
    <row r="3338">
      <c r="A3338" s="23" t="s">
        <v>51</v>
      </c>
    </row>
    <row r="3339">
      <c r="A3339" s="23" t="s">
        <v>30</v>
      </c>
    </row>
    <row r="3340">
      <c r="A3340" s="23" t="s">
        <v>85</v>
      </c>
    </row>
    <row r="3341">
      <c r="A3341" s="23" t="s">
        <v>135</v>
      </c>
    </row>
    <row r="3342">
      <c r="A3342" s="23" t="s">
        <v>160</v>
      </c>
    </row>
    <row r="3343">
      <c r="A3343" s="23" t="s">
        <v>139</v>
      </c>
    </row>
    <row r="3344">
      <c r="A3344" s="23" t="s">
        <v>26</v>
      </c>
    </row>
    <row r="3345">
      <c r="A3345" s="23" t="s">
        <v>163</v>
      </c>
    </row>
    <row r="3346">
      <c r="A3346" s="23" t="s">
        <v>24</v>
      </c>
    </row>
    <row r="3347">
      <c r="A3347" s="23" t="s">
        <v>152</v>
      </c>
    </row>
    <row r="3348">
      <c r="A3348" s="23" t="s">
        <v>92</v>
      </c>
    </row>
    <row r="3349">
      <c r="A3349" s="23" t="s">
        <v>158</v>
      </c>
    </row>
    <row r="3350">
      <c r="A3350" s="23" t="s">
        <v>47</v>
      </c>
    </row>
    <row r="3351">
      <c r="A3351" s="23" t="s">
        <v>85</v>
      </c>
    </row>
    <row r="3352">
      <c r="A3352" s="23" t="s">
        <v>139</v>
      </c>
    </row>
    <row r="3353">
      <c r="A3353" s="23" t="s">
        <v>85</v>
      </c>
    </row>
    <row r="3354">
      <c r="A3354" s="23" t="s">
        <v>69</v>
      </c>
    </row>
    <row r="3355">
      <c r="A3355" s="23" t="s">
        <v>135</v>
      </c>
    </row>
    <row r="3356">
      <c r="A3356" s="23" t="s">
        <v>119</v>
      </c>
    </row>
    <row r="3357">
      <c r="A3357" s="23" t="s">
        <v>28</v>
      </c>
    </row>
    <row r="3358">
      <c r="A3358" s="23" t="s">
        <v>135</v>
      </c>
    </row>
    <row r="3359">
      <c r="A3359" s="23" t="s">
        <v>59</v>
      </c>
    </row>
    <row r="3360">
      <c r="A3360" s="23" t="s">
        <v>160</v>
      </c>
    </row>
    <row r="3361">
      <c r="A3361" s="23" t="s">
        <v>163</v>
      </c>
    </row>
    <row r="3362">
      <c r="A3362" s="23" t="s">
        <v>158</v>
      </c>
    </row>
    <row r="3363">
      <c r="A3363" s="23" t="s">
        <v>132</v>
      </c>
    </row>
    <row r="3364">
      <c r="A3364" s="23" t="s">
        <v>59</v>
      </c>
    </row>
    <row r="3365">
      <c r="A3365" s="23" t="s">
        <v>160</v>
      </c>
    </row>
    <row r="3366">
      <c r="A3366" s="23" t="s">
        <v>139</v>
      </c>
    </row>
    <row r="3367">
      <c r="A3367" s="23" t="s">
        <v>15</v>
      </c>
    </row>
    <row r="3368">
      <c r="A3368" s="23" t="s">
        <v>24</v>
      </c>
    </row>
    <row r="3369">
      <c r="A3369" s="23" t="s">
        <v>92</v>
      </c>
    </row>
    <row r="3370">
      <c r="A3370" s="23" t="s">
        <v>41</v>
      </c>
    </row>
    <row r="3371">
      <c r="A3371" s="23" t="s">
        <v>113</v>
      </c>
    </row>
    <row r="3372">
      <c r="A3372" s="23" t="s">
        <v>160</v>
      </c>
    </row>
    <row r="3373">
      <c r="A3373" s="23" t="s">
        <v>119</v>
      </c>
    </row>
    <row r="3374">
      <c r="A3374" s="23" t="s">
        <v>147</v>
      </c>
    </row>
    <row r="3375">
      <c r="A3375" s="23" t="s">
        <v>28</v>
      </c>
    </row>
    <row r="3376">
      <c r="A3376" s="23" t="s">
        <v>15</v>
      </c>
    </row>
    <row r="3377">
      <c r="A3377" s="23" t="s">
        <v>163</v>
      </c>
    </row>
    <row r="3378">
      <c r="A3378" s="23" t="s">
        <v>152</v>
      </c>
    </row>
    <row r="3379">
      <c r="A3379" s="23" t="s">
        <v>92</v>
      </c>
    </row>
    <row r="3380">
      <c r="A3380" s="23" t="s">
        <v>41</v>
      </c>
    </row>
    <row r="3381">
      <c r="A3381" s="23" t="s">
        <v>32</v>
      </c>
    </row>
    <row r="3382">
      <c r="A3382" s="23" t="s">
        <v>43</v>
      </c>
    </row>
    <row r="3383">
      <c r="A3383" s="23" t="s">
        <v>51</v>
      </c>
    </row>
    <row r="3384">
      <c r="A3384" s="23" t="s">
        <v>158</v>
      </c>
    </row>
    <row r="3385">
      <c r="A3385" s="23" t="s">
        <v>30</v>
      </c>
    </row>
    <row r="3386">
      <c r="A3386" s="23" t="s">
        <v>69</v>
      </c>
    </row>
    <row r="3387">
      <c r="A3387" s="23" t="s">
        <v>81</v>
      </c>
    </row>
    <row r="3388">
      <c r="A3388" s="23" t="s">
        <v>59</v>
      </c>
    </row>
    <row r="3389">
      <c r="A3389" s="23" t="s">
        <v>109</v>
      </c>
    </row>
    <row r="3390">
      <c r="A3390" s="23" t="s">
        <v>119</v>
      </c>
    </row>
    <row r="3391">
      <c r="A3391" s="23" t="s">
        <v>12</v>
      </c>
    </row>
    <row r="3392">
      <c r="A3392" s="23" t="s">
        <v>54</v>
      </c>
    </row>
    <row r="3393">
      <c r="A3393" s="23" t="s">
        <v>139</v>
      </c>
    </row>
    <row r="3394">
      <c r="A3394" s="23" t="s">
        <v>64</v>
      </c>
    </row>
    <row r="3395">
      <c r="A3395" s="23" t="s">
        <v>28</v>
      </c>
    </row>
    <row r="3396">
      <c r="A3396" s="23" t="s">
        <v>15</v>
      </c>
    </row>
    <row r="3397">
      <c r="A3397" s="23" t="s">
        <v>163</v>
      </c>
    </row>
    <row r="3398">
      <c r="A3398" s="23" t="s">
        <v>152</v>
      </c>
    </row>
    <row r="3399">
      <c r="A3399" s="23" t="s">
        <v>32</v>
      </c>
    </row>
    <row r="3400">
      <c r="A3400" s="23" t="s">
        <v>51</v>
      </c>
    </row>
    <row r="3401">
      <c r="A3401" s="23" t="s">
        <v>113</v>
      </c>
    </row>
    <row r="3402">
      <c r="A3402" s="23" t="s">
        <v>30</v>
      </c>
    </row>
    <row r="3403">
      <c r="A3403" s="23" t="s">
        <v>81</v>
      </c>
    </row>
    <row r="3404">
      <c r="A3404" s="23" t="s">
        <v>96</v>
      </c>
    </row>
    <row r="3405">
      <c r="A3405" s="23" t="s">
        <v>132</v>
      </c>
    </row>
    <row r="3406">
      <c r="A3406" s="23" t="s">
        <v>59</v>
      </c>
    </row>
    <row r="3407">
      <c r="A3407" s="23" t="s">
        <v>160</v>
      </c>
    </row>
    <row r="3408">
      <c r="A3408" s="23" t="s">
        <v>139</v>
      </c>
    </row>
    <row r="3409">
      <c r="A3409" s="23" t="s">
        <v>64</v>
      </c>
    </row>
    <row r="3410">
      <c r="A3410" s="23" t="s">
        <v>15</v>
      </c>
    </row>
    <row r="3411">
      <c r="A3411" s="23" t="s">
        <v>49</v>
      </c>
    </row>
    <row r="3412">
      <c r="A3412" s="23" t="s">
        <v>83</v>
      </c>
    </row>
    <row r="3413">
      <c r="A3413" s="23" t="s">
        <v>163</v>
      </c>
    </row>
    <row r="3414">
      <c r="A3414" s="23" t="s">
        <v>152</v>
      </c>
    </row>
    <row r="3415">
      <c r="A3415" s="23" t="s">
        <v>51</v>
      </c>
    </row>
    <row r="3416">
      <c r="A3416" s="23" t="s">
        <v>47</v>
      </c>
    </row>
    <row r="3417">
      <c r="A3417" s="23" t="s">
        <v>85</v>
      </c>
    </row>
    <row r="3418">
      <c r="A3418" s="23" t="s">
        <v>99</v>
      </c>
    </row>
    <row r="3419">
      <c r="A3419" s="23" t="s">
        <v>160</v>
      </c>
    </row>
    <row r="3420">
      <c r="A3420" s="23" t="s">
        <v>139</v>
      </c>
    </row>
    <row r="3421">
      <c r="A3421" s="23" t="s">
        <v>26</v>
      </c>
    </row>
    <row r="3422">
      <c r="A3422" s="23" t="s">
        <v>163</v>
      </c>
    </row>
    <row r="3423">
      <c r="A3423" s="23" t="s">
        <v>152</v>
      </c>
    </row>
    <row r="3424">
      <c r="A3424" s="23" t="s">
        <v>158</v>
      </c>
    </row>
    <row r="3425">
      <c r="A3425" s="23" t="s">
        <v>47</v>
      </c>
    </row>
    <row r="3426">
      <c r="A3426" s="23" t="s">
        <v>85</v>
      </c>
    </row>
    <row r="3427">
      <c r="A3427" s="23" t="s">
        <v>139</v>
      </c>
    </row>
    <row r="3428">
      <c r="A3428" s="23" t="s">
        <v>85</v>
      </c>
    </row>
    <row r="3429">
      <c r="A3429" s="23" t="s">
        <v>69</v>
      </c>
    </row>
    <row r="3430">
      <c r="A3430" s="23" t="s">
        <v>37</v>
      </c>
    </row>
    <row r="3431">
      <c r="A3431" s="23" t="s">
        <v>135</v>
      </c>
    </row>
    <row r="3432">
      <c r="A3432" s="23" t="s">
        <v>28</v>
      </c>
    </row>
    <row r="3433">
      <c r="A3433" s="23" t="s">
        <v>45</v>
      </c>
    </row>
    <row r="3434">
      <c r="A3434" s="23" t="s">
        <v>69</v>
      </c>
    </row>
    <row r="3435">
      <c r="A3435" s="23" t="s">
        <v>37</v>
      </c>
    </row>
    <row r="3436">
      <c r="A3436" s="23" t="s">
        <v>160</v>
      </c>
    </row>
    <row r="3437">
      <c r="A3437" s="23" t="s">
        <v>139</v>
      </c>
    </row>
    <row r="3438">
      <c r="A3438" s="23" t="s">
        <v>26</v>
      </c>
    </row>
    <row r="3439">
      <c r="A3439" s="23" t="s">
        <v>28</v>
      </c>
    </row>
    <row r="3440">
      <c r="A3440" s="23" t="s">
        <v>49</v>
      </c>
    </row>
    <row r="3441">
      <c r="A3441" s="23" t="s">
        <v>45</v>
      </c>
    </row>
    <row r="3442">
      <c r="A3442" s="23" t="s">
        <v>51</v>
      </c>
    </row>
    <row r="3443">
      <c r="A3443" s="23" t="s">
        <v>85</v>
      </c>
    </row>
    <row r="3444">
      <c r="A3444" s="23" t="s">
        <v>69</v>
      </c>
    </row>
    <row r="3445">
      <c r="A3445" s="23" t="s">
        <v>132</v>
      </c>
    </row>
    <row r="3446">
      <c r="A3446" s="23" t="s">
        <v>160</v>
      </c>
    </row>
    <row r="3447">
      <c r="A3447" s="23" t="s">
        <v>147</v>
      </c>
    </row>
    <row r="3448">
      <c r="A3448" s="23" t="s">
        <v>64</v>
      </c>
    </row>
    <row r="3449">
      <c r="A3449" s="23" t="s">
        <v>28</v>
      </c>
    </row>
    <row r="3450">
      <c r="A3450" s="23" t="s">
        <v>163</v>
      </c>
    </row>
    <row r="3451">
      <c r="A3451" s="23" t="s">
        <v>152</v>
      </c>
    </row>
    <row r="3452">
      <c r="A3452" s="23" t="s">
        <v>51</v>
      </c>
    </row>
    <row r="3453">
      <c r="A3453" s="23" t="s">
        <v>69</v>
      </c>
    </row>
    <row r="3454">
      <c r="A3454" s="23" t="s">
        <v>37</v>
      </c>
    </row>
    <row r="3455">
      <c r="A3455" s="23" t="s">
        <v>132</v>
      </c>
    </row>
    <row r="3456">
      <c r="A3456" s="23" t="s">
        <v>147</v>
      </c>
    </row>
    <row r="3457">
      <c r="A3457" s="23" t="s">
        <v>28</v>
      </c>
    </row>
    <row r="3458">
      <c r="A3458" s="23" t="s">
        <v>15</v>
      </c>
    </row>
    <row r="3459">
      <c r="A3459" s="23" t="s">
        <v>163</v>
      </c>
    </row>
    <row r="3460">
      <c r="A3460" s="23" t="s">
        <v>92</v>
      </c>
    </row>
    <row r="3461">
      <c r="A3461" s="23" t="s">
        <v>43</v>
      </c>
    </row>
    <row r="3462">
      <c r="A3462" s="23" t="s">
        <v>158</v>
      </c>
    </row>
    <row r="3463">
      <c r="A3463" s="23" t="s">
        <v>69</v>
      </c>
    </row>
    <row r="3464">
      <c r="A3464" s="23" t="s">
        <v>81</v>
      </c>
    </row>
    <row r="3465">
      <c r="A3465" s="23" t="s">
        <v>37</v>
      </c>
    </row>
    <row r="3466">
      <c r="A3466" s="23" t="s">
        <v>96</v>
      </c>
    </row>
    <row r="3467">
      <c r="A3467" s="23" t="s">
        <v>132</v>
      </c>
    </row>
    <row r="3468">
      <c r="A3468" s="23" t="s">
        <v>34</v>
      </c>
    </row>
    <row r="3469">
      <c r="A3469" s="23" t="s">
        <v>160</v>
      </c>
    </row>
    <row r="3470">
      <c r="A3470" s="23" t="s">
        <v>119</v>
      </c>
    </row>
    <row r="3471">
      <c r="A3471" s="23" t="s">
        <v>12</v>
      </c>
    </row>
    <row r="3472">
      <c r="A3472" s="23" t="s">
        <v>64</v>
      </c>
    </row>
    <row r="3473">
      <c r="A3473" s="23" t="s">
        <v>28</v>
      </c>
    </row>
    <row r="3474">
      <c r="A3474" s="23" t="s">
        <v>15</v>
      </c>
    </row>
    <row r="3475">
      <c r="A3475" s="23" t="s">
        <v>83</v>
      </c>
    </row>
    <row r="3476">
      <c r="A3476" s="23" t="s">
        <v>163</v>
      </c>
    </row>
    <row r="3477">
      <c r="A3477" s="23" t="s">
        <v>24</v>
      </c>
    </row>
    <row r="3478">
      <c r="A3478" s="23" t="s">
        <v>152</v>
      </c>
    </row>
    <row r="3479">
      <c r="A3479" s="23" t="s">
        <v>32</v>
      </c>
    </row>
    <row r="3480">
      <c r="A3480" s="23" t="s">
        <v>43</v>
      </c>
    </row>
    <row r="3481">
      <c r="A3481" s="23" t="s">
        <v>158</v>
      </c>
    </row>
    <row r="3482">
      <c r="A3482" s="23" t="s">
        <v>69</v>
      </c>
    </row>
    <row r="3483">
      <c r="A3483" s="23" t="s">
        <v>81</v>
      </c>
    </row>
    <row r="3484">
      <c r="A3484" s="23" t="s">
        <v>96</v>
      </c>
    </row>
    <row r="3485">
      <c r="A3485" s="23" t="s">
        <v>34</v>
      </c>
    </row>
    <row r="3486">
      <c r="A3486" s="23" t="s">
        <v>59</v>
      </c>
    </row>
    <row r="3487">
      <c r="A3487" s="23" t="s">
        <v>109</v>
      </c>
    </row>
    <row r="3488">
      <c r="A3488" s="23" t="s">
        <v>119</v>
      </c>
    </row>
    <row r="3489">
      <c r="A3489" s="23" t="s">
        <v>12</v>
      </c>
    </row>
    <row r="3490">
      <c r="A3490" s="23" t="s">
        <v>139</v>
      </c>
    </row>
    <row r="3491">
      <c r="A3491" s="23" t="s">
        <v>147</v>
      </c>
    </row>
    <row r="3492">
      <c r="A3492" s="23" t="s">
        <v>64</v>
      </c>
    </row>
    <row r="3493">
      <c r="A3493" s="23" t="s">
        <v>15</v>
      </c>
    </row>
    <row r="3494">
      <c r="A3494" s="23" t="s">
        <v>49</v>
      </c>
    </row>
    <row r="3495">
      <c r="A3495" s="23" t="s">
        <v>62</v>
      </c>
    </row>
    <row r="3496">
      <c r="A3496" s="23" t="s">
        <v>163</v>
      </c>
    </row>
    <row r="3497">
      <c r="A3497" s="23" t="s">
        <v>24</v>
      </c>
    </row>
    <row r="3498">
      <c r="A3498" s="23" t="s">
        <v>152</v>
      </c>
    </row>
    <row r="3499">
      <c r="A3499" s="23" t="s">
        <v>92</v>
      </c>
    </row>
    <row r="3500">
      <c r="A3500" s="23" t="s">
        <v>32</v>
      </c>
    </row>
    <row r="3501">
      <c r="A3501" s="23" t="s">
        <v>43</v>
      </c>
    </row>
    <row r="3502">
      <c r="A3502" s="23" t="s">
        <v>158</v>
      </c>
    </row>
    <row r="3503">
      <c r="A3503" s="23" t="s">
        <v>47</v>
      </c>
    </row>
    <row r="3504">
      <c r="A3504" s="23" t="s">
        <v>85</v>
      </c>
    </row>
    <row r="3505">
      <c r="A3505" s="23" t="s">
        <v>69</v>
      </c>
    </row>
    <row r="3506">
      <c r="A3506" s="23" t="s">
        <v>81</v>
      </c>
    </row>
    <row r="3507">
      <c r="A3507" s="23" t="s">
        <v>96</v>
      </c>
    </row>
    <row r="3508">
      <c r="A3508" s="23" t="s">
        <v>99</v>
      </c>
    </row>
    <row r="3509">
      <c r="A3509" s="23" t="s">
        <v>135</v>
      </c>
    </row>
    <row r="3510">
      <c r="A3510" s="23" t="s">
        <v>59</v>
      </c>
    </row>
    <row r="3511">
      <c r="A3511" s="23" t="s">
        <v>109</v>
      </c>
    </row>
    <row r="3512">
      <c r="A3512" s="23" t="s">
        <v>160</v>
      </c>
    </row>
    <row r="3513">
      <c r="A3513" s="23" t="s">
        <v>119</v>
      </c>
    </row>
    <row r="3514">
      <c r="A3514" s="23" t="s">
        <v>139</v>
      </c>
    </row>
    <row r="3515">
      <c r="A3515" s="23" t="s">
        <v>147</v>
      </c>
    </row>
    <row r="3516">
      <c r="A3516" s="23" t="s">
        <v>64</v>
      </c>
    </row>
    <row r="3517">
      <c r="A3517" s="23" t="s">
        <v>15</v>
      </c>
    </row>
    <row r="3518">
      <c r="A3518" s="23" t="s">
        <v>49</v>
      </c>
    </row>
    <row r="3519">
      <c r="A3519" s="23" t="s">
        <v>83</v>
      </c>
    </row>
    <row r="3520">
      <c r="A3520" s="23" t="s">
        <v>62</v>
      </c>
    </row>
    <row r="3521">
      <c r="A3521" s="23" t="s">
        <v>152</v>
      </c>
    </row>
    <row r="3522">
      <c r="A3522" s="23" t="s">
        <v>47</v>
      </c>
    </row>
    <row r="3523">
      <c r="A3523" s="23" t="s">
        <v>69</v>
      </c>
    </row>
    <row r="3524">
      <c r="A3524" s="23" t="s">
        <v>99</v>
      </c>
    </row>
    <row r="3525">
      <c r="A3525" s="23" t="s">
        <v>135</v>
      </c>
    </row>
    <row r="3526">
      <c r="A3526" s="23" t="s">
        <v>59</v>
      </c>
    </row>
    <row r="3527">
      <c r="A3527" s="23" t="s">
        <v>109</v>
      </c>
    </row>
    <row r="3528">
      <c r="A3528" s="23" t="s">
        <v>119</v>
      </c>
    </row>
    <row r="3529">
      <c r="A3529" s="23" t="s">
        <v>147</v>
      </c>
    </row>
    <row r="3530">
      <c r="A3530" s="23" t="s">
        <v>15</v>
      </c>
    </row>
    <row r="3531">
      <c r="A3531" s="23" t="s">
        <v>49</v>
      </c>
    </row>
    <row r="3532">
      <c r="A3532" s="23" t="s">
        <v>62</v>
      </c>
    </row>
    <row r="3533">
      <c r="A3533" s="23" t="s">
        <v>163</v>
      </c>
    </row>
    <row r="3534">
      <c r="A3534" s="23" t="s">
        <v>152</v>
      </c>
    </row>
    <row r="3535">
      <c r="A3535" s="23" t="s">
        <v>47</v>
      </c>
    </row>
    <row r="3536">
      <c r="A3536" s="23" t="s">
        <v>85</v>
      </c>
    </row>
    <row r="3537">
      <c r="A3537" s="23" t="s">
        <v>99</v>
      </c>
    </row>
    <row r="3538">
      <c r="A3538" s="23" t="s">
        <v>135</v>
      </c>
    </row>
    <row r="3539">
      <c r="A3539" s="23" t="s">
        <v>59</v>
      </c>
    </row>
    <row r="3540">
      <c r="A3540" s="23" t="s">
        <v>109</v>
      </c>
    </row>
    <row r="3541">
      <c r="A3541" s="23" t="s">
        <v>160</v>
      </c>
    </row>
    <row r="3542">
      <c r="A3542" s="23" t="s">
        <v>119</v>
      </c>
    </row>
    <row r="3543">
      <c r="A3543" s="23" t="s">
        <v>139</v>
      </c>
    </row>
    <row r="3544">
      <c r="A3544" s="23" t="s">
        <v>147</v>
      </c>
    </row>
    <row r="3545">
      <c r="A3545" s="23" t="s">
        <v>26</v>
      </c>
    </row>
    <row r="3546">
      <c r="A3546" s="23" t="s">
        <v>49</v>
      </c>
    </row>
    <row r="3547">
      <c r="A3547" s="23" t="s">
        <v>163</v>
      </c>
    </row>
    <row r="3548">
      <c r="A3548" s="23" t="s">
        <v>152</v>
      </c>
    </row>
    <row r="3549">
      <c r="A3549" s="23" t="s">
        <v>92</v>
      </c>
    </row>
    <row r="3550">
      <c r="A3550" s="23" t="s">
        <v>109</v>
      </c>
    </row>
    <row r="3551">
      <c r="A3551" s="23" t="s">
        <v>160</v>
      </c>
    </row>
    <row r="3552">
      <c r="A3552" s="23" t="s">
        <v>119</v>
      </c>
    </row>
    <row r="3553">
      <c r="A3553" s="23" t="s">
        <v>139</v>
      </c>
    </row>
    <row r="3554">
      <c r="A3554" s="23" t="s">
        <v>147</v>
      </c>
    </row>
    <row r="3555">
      <c r="A3555" s="23" t="s">
        <v>26</v>
      </c>
    </row>
    <row r="3556">
      <c r="A3556" s="23" t="s">
        <v>163</v>
      </c>
    </row>
    <row r="3557">
      <c r="A3557" s="23" t="s">
        <v>152</v>
      </c>
    </row>
    <row r="3558">
      <c r="A3558" s="23" t="s">
        <v>92</v>
      </c>
    </row>
    <row r="3559">
      <c r="A3559" s="23" t="s">
        <v>21</v>
      </c>
    </row>
    <row r="3560">
      <c r="A3560" s="23" t="s">
        <v>47</v>
      </c>
    </row>
    <row r="3561">
      <c r="A3561" s="23" t="s">
        <v>85</v>
      </c>
    </row>
    <row r="3562">
      <c r="A3562" s="23" t="s">
        <v>132</v>
      </c>
    </row>
    <row r="3563">
      <c r="A3563" s="23" t="s">
        <v>99</v>
      </c>
    </row>
    <row r="3564">
      <c r="A3564" s="23" t="s">
        <v>135</v>
      </c>
    </row>
    <row r="3565">
      <c r="A3565" s="23" t="s">
        <v>109</v>
      </c>
    </row>
    <row r="3566">
      <c r="A3566" s="23" t="s">
        <v>119</v>
      </c>
    </row>
    <row r="3567">
      <c r="A3567" s="23" t="s">
        <v>139</v>
      </c>
    </row>
    <row r="3568">
      <c r="A3568" s="23" t="s">
        <v>147</v>
      </c>
    </row>
    <row r="3569">
      <c r="A3569" s="23" t="s">
        <v>26</v>
      </c>
    </row>
    <row r="3570">
      <c r="A3570" s="23" t="s">
        <v>49</v>
      </c>
    </row>
    <row r="3571">
      <c r="A3571" s="23" t="s">
        <v>163</v>
      </c>
    </row>
    <row r="3572">
      <c r="A3572" s="23" t="s">
        <v>152</v>
      </c>
    </row>
    <row r="3573">
      <c r="A3573" s="23" t="s">
        <v>92</v>
      </c>
    </row>
    <row r="3574">
      <c r="A3574" s="23" t="s">
        <v>158</v>
      </c>
    </row>
    <row r="3575">
      <c r="A3575" s="23" t="s">
        <v>47</v>
      </c>
    </row>
    <row r="3576">
      <c r="A3576" s="23" t="s">
        <v>85</v>
      </c>
    </row>
    <row r="3577">
      <c r="A3577" s="23" t="s">
        <v>132</v>
      </c>
    </row>
    <row r="3578">
      <c r="A3578" s="23" t="s">
        <v>135</v>
      </c>
    </row>
    <row r="3579">
      <c r="A3579" s="23" t="s">
        <v>109</v>
      </c>
    </row>
    <row r="3580">
      <c r="A3580" s="23" t="s">
        <v>119</v>
      </c>
    </row>
    <row r="3581">
      <c r="A3581" s="23" t="s">
        <v>139</v>
      </c>
    </row>
    <row r="3582">
      <c r="A3582" s="23" t="s">
        <v>147</v>
      </c>
    </row>
    <row r="3583">
      <c r="A3583" s="23" t="s">
        <v>26</v>
      </c>
    </row>
    <row r="3584">
      <c r="A3584" s="23" t="s">
        <v>163</v>
      </c>
    </row>
    <row r="3585">
      <c r="A3585" s="23" t="s">
        <v>152</v>
      </c>
    </row>
    <row r="3586">
      <c r="A3586" s="23" t="s">
        <v>45</v>
      </c>
    </row>
    <row r="3587">
      <c r="A3587" s="23" t="s">
        <v>92</v>
      </c>
    </row>
    <row r="3588">
      <c r="A3588" s="23" t="s">
        <v>158</v>
      </c>
    </row>
    <row r="3589">
      <c r="A3589" s="23" t="s">
        <v>47</v>
      </c>
    </row>
    <row r="3590">
      <c r="A3590" s="23" t="s">
        <v>85</v>
      </c>
    </row>
    <row r="3591">
      <c r="A3591" s="23" t="s">
        <v>69</v>
      </c>
    </row>
    <row r="3592">
      <c r="A3592" s="23" t="s">
        <v>132</v>
      </c>
    </row>
    <row r="3593">
      <c r="A3593" s="23" t="s">
        <v>99</v>
      </c>
    </row>
    <row r="3594">
      <c r="A3594" s="23" t="s">
        <v>135</v>
      </c>
    </row>
    <row r="3595">
      <c r="A3595" s="23" t="s">
        <v>109</v>
      </c>
    </row>
    <row r="3596">
      <c r="A3596" s="23" t="s">
        <v>119</v>
      </c>
    </row>
    <row r="3597">
      <c r="A3597" s="23" t="s">
        <v>139</v>
      </c>
    </row>
    <row r="3598">
      <c r="A3598" s="23" t="s">
        <v>147</v>
      </c>
    </row>
    <row r="3599">
      <c r="A3599" s="23" t="s">
        <v>26</v>
      </c>
    </row>
    <row r="3600">
      <c r="A3600" s="23" t="s">
        <v>28</v>
      </c>
    </row>
    <row r="3601">
      <c r="A3601" s="23" t="s">
        <v>92</v>
      </c>
    </row>
    <row r="3602">
      <c r="A3602" s="23" t="s">
        <v>135</v>
      </c>
    </row>
    <row r="3603">
      <c r="A3603" s="23" t="s">
        <v>119</v>
      </c>
    </row>
    <row r="3604">
      <c r="A3604" s="23" t="s">
        <v>147</v>
      </c>
    </row>
    <row r="3605">
      <c r="A3605" s="23" t="s">
        <v>163</v>
      </c>
    </row>
    <row r="3606">
      <c r="A3606" s="23" t="s">
        <v>45</v>
      </c>
    </row>
    <row r="3607">
      <c r="A3607" s="23" t="s">
        <v>69</v>
      </c>
    </row>
    <row r="3608">
      <c r="A3608" s="23" t="s">
        <v>132</v>
      </c>
    </row>
    <row r="3609">
      <c r="A3609" s="23" t="s">
        <v>109</v>
      </c>
    </row>
    <row r="3610">
      <c r="A3610" s="23" t="s">
        <v>139</v>
      </c>
    </row>
    <row r="3611">
      <c r="A3611" s="23" t="s">
        <v>147</v>
      </c>
    </row>
    <row r="3612">
      <c r="A3612" s="23" t="s">
        <v>163</v>
      </c>
    </row>
    <row r="3613">
      <c r="A3613" s="23" t="s">
        <v>45</v>
      </c>
    </row>
    <row r="3614">
      <c r="A3614" s="23" t="s">
        <v>92</v>
      </c>
    </row>
    <row r="3615">
      <c r="A3615" s="23" t="s">
        <v>158</v>
      </c>
    </row>
    <row r="3616">
      <c r="A3616" s="23" t="s">
        <v>85</v>
      </c>
    </row>
    <row r="3617">
      <c r="A3617" s="23" t="s">
        <v>132</v>
      </c>
    </row>
    <row r="3618">
      <c r="A3618" s="23" t="s">
        <v>99</v>
      </c>
    </row>
    <row r="3619">
      <c r="A3619" s="23" t="s">
        <v>135</v>
      </c>
    </row>
    <row r="3620">
      <c r="A3620" s="23" t="s">
        <v>109</v>
      </c>
    </row>
    <row r="3621">
      <c r="A3621" s="23" t="s">
        <v>139</v>
      </c>
    </row>
    <row r="3622">
      <c r="A3622" s="23" t="s">
        <v>147</v>
      </c>
    </row>
    <row r="3623">
      <c r="A3623" s="23" t="s">
        <v>28</v>
      </c>
    </row>
    <row r="3624">
      <c r="A3624" s="23" t="s">
        <v>49</v>
      </c>
    </row>
    <row r="3625">
      <c r="A3625" s="23" t="s">
        <v>83</v>
      </c>
    </row>
    <row r="3626">
      <c r="A3626" s="23" t="s">
        <v>92</v>
      </c>
    </row>
    <row r="3627">
      <c r="A3627" s="23" t="s">
        <v>85</v>
      </c>
    </row>
    <row r="3628">
      <c r="A3628" s="23" t="s">
        <v>132</v>
      </c>
    </row>
    <row r="3629">
      <c r="A3629" s="23" t="s">
        <v>135</v>
      </c>
    </row>
    <row r="3630">
      <c r="A3630" s="23" t="s">
        <v>64</v>
      </c>
    </row>
    <row r="3631">
      <c r="A3631" s="23" t="s">
        <v>45</v>
      </c>
    </row>
    <row r="3632">
      <c r="A3632" s="23" t="s">
        <v>32</v>
      </c>
    </row>
    <row r="3633">
      <c r="A3633" s="23" t="s">
        <v>77</v>
      </c>
    </row>
    <row r="3634">
      <c r="A3634" s="23" t="s">
        <v>69</v>
      </c>
    </row>
    <row r="3635">
      <c r="A3635" s="23" t="s">
        <v>81</v>
      </c>
    </row>
    <row r="3636">
      <c r="A3636" s="23" t="s">
        <v>99</v>
      </c>
    </row>
    <row r="3637">
      <c r="A3637" s="23" t="s">
        <v>135</v>
      </c>
    </row>
    <row r="3638">
      <c r="A3638" s="23" t="s">
        <v>109</v>
      </c>
    </row>
    <row r="3639">
      <c r="A3639" s="23" t="s">
        <v>160</v>
      </c>
    </row>
    <row r="3640">
      <c r="A3640" s="23" t="s">
        <v>119</v>
      </c>
    </row>
    <row r="3641">
      <c r="A3641" s="23" t="s">
        <v>139</v>
      </c>
    </row>
    <row r="3642">
      <c r="A3642" s="23" t="s">
        <v>64</v>
      </c>
    </row>
    <row r="3643">
      <c r="A3643" s="23" t="s">
        <v>28</v>
      </c>
    </row>
    <row r="3644">
      <c r="A3644" s="23" t="s">
        <v>15</v>
      </c>
    </row>
    <row r="3645">
      <c r="A3645" s="23" t="s">
        <v>83</v>
      </c>
    </row>
    <row r="3646">
      <c r="A3646" s="23" t="s">
        <v>62</v>
      </c>
    </row>
    <row r="3647">
      <c r="A3647" s="23" t="s">
        <v>45</v>
      </c>
    </row>
    <row r="3648">
      <c r="A3648" s="23" t="s">
        <v>92</v>
      </c>
    </row>
    <row r="3649">
      <c r="A3649" s="23" t="s">
        <v>77</v>
      </c>
    </row>
    <row r="3650">
      <c r="A3650" s="23" t="s">
        <v>69</v>
      </c>
    </row>
    <row r="3651">
      <c r="A3651" s="23" t="s">
        <v>81</v>
      </c>
    </row>
    <row r="3652">
      <c r="A3652" s="23" t="s">
        <v>132</v>
      </c>
    </row>
    <row r="3653">
      <c r="A3653" s="23" t="s">
        <v>135</v>
      </c>
    </row>
    <row r="3654">
      <c r="A3654" s="23" t="s">
        <v>109</v>
      </c>
    </row>
    <row r="3655">
      <c r="A3655" s="23" t="s">
        <v>160</v>
      </c>
    </row>
    <row r="3656">
      <c r="A3656" s="23" t="s">
        <v>119</v>
      </c>
    </row>
    <row r="3657">
      <c r="A3657" s="23" t="s">
        <v>139</v>
      </c>
    </row>
    <row r="3658">
      <c r="A3658" s="23" t="s">
        <v>28</v>
      </c>
    </row>
    <row r="3659">
      <c r="A3659" s="23" t="s">
        <v>83</v>
      </c>
    </row>
    <row r="3660">
      <c r="A3660" s="23" t="s">
        <v>45</v>
      </c>
    </row>
    <row r="3661">
      <c r="A3661" s="23" t="s">
        <v>92</v>
      </c>
    </row>
    <row r="3662">
      <c r="A3662" s="23" t="s">
        <v>43</v>
      </c>
    </row>
    <row r="3663">
      <c r="A3663" s="23" t="s">
        <v>158</v>
      </c>
    </row>
    <row r="3664">
      <c r="A3664" s="23" t="s">
        <v>85</v>
      </c>
    </row>
    <row r="3665">
      <c r="A3665" s="23" t="s">
        <v>77</v>
      </c>
    </row>
    <row r="3666">
      <c r="A3666" s="23" t="s">
        <v>132</v>
      </c>
    </row>
    <row r="3667">
      <c r="A3667" s="23" t="s">
        <v>99</v>
      </c>
    </row>
    <row r="3668">
      <c r="A3668" s="23" t="s">
        <v>135</v>
      </c>
    </row>
    <row r="3669">
      <c r="A3669" s="23" t="s">
        <v>119</v>
      </c>
    </row>
    <row r="3670">
      <c r="A3670" s="23" t="s">
        <v>139</v>
      </c>
    </row>
    <row r="3671">
      <c r="A3671" s="23" t="s">
        <v>28</v>
      </c>
    </row>
    <row r="3672">
      <c r="A3672" s="23" t="s">
        <v>83</v>
      </c>
    </row>
    <row r="3673">
      <c r="A3673" s="23" t="s">
        <v>62</v>
      </c>
    </row>
    <row r="3674">
      <c r="A3674" s="23" t="s">
        <v>152</v>
      </c>
    </row>
    <row r="3675">
      <c r="A3675" s="23" t="s">
        <v>43</v>
      </c>
    </row>
    <row r="3676">
      <c r="A3676" s="23" t="s">
        <v>158</v>
      </c>
    </row>
    <row r="3677">
      <c r="A3677" s="23" t="s">
        <v>85</v>
      </c>
    </row>
    <row r="3678">
      <c r="A3678" s="23" t="s">
        <v>77</v>
      </c>
    </row>
    <row r="3679">
      <c r="A3679" s="23" t="s">
        <v>81</v>
      </c>
    </row>
    <row r="3680">
      <c r="A3680" s="23" t="s">
        <v>132</v>
      </c>
    </row>
    <row r="3681">
      <c r="A3681" s="23" t="s">
        <v>34</v>
      </c>
    </row>
    <row r="3682">
      <c r="A3682" s="23" t="s">
        <v>160</v>
      </c>
    </row>
    <row r="3683">
      <c r="A3683" s="23" t="s">
        <v>12</v>
      </c>
    </row>
    <row r="3684">
      <c r="A3684" s="23" t="s">
        <v>64</v>
      </c>
    </row>
    <row r="3685">
      <c r="A3685" s="23" t="s">
        <v>28</v>
      </c>
    </row>
    <row r="3686">
      <c r="A3686" s="23" t="s">
        <v>83</v>
      </c>
    </row>
    <row r="3687">
      <c r="A3687" s="23" t="s">
        <v>62</v>
      </c>
    </row>
    <row r="3688">
      <c r="A3688" s="23" t="s">
        <v>163</v>
      </c>
    </row>
    <row r="3689">
      <c r="A3689" s="23" t="s">
        <v>152</v>
      </c>
    </row>
    <row r="3690">
      <c r="A3690" s="23" t="s">
        <v>45</v>
      </c>
    </row>
    <row r="3691">
      <c r="A3691" s="23" t="s">
        <v>32</v>
      </c>
    </row>
    <row r="3692">
      <c r="A3692" s="23" t="s">
        <v>43</v>
      </c>
    </row>
    <row r="3693">
      <c r="A3693" s="23" t="s">
        <v>158</v>
      </c>
    </row>
    <row r="3694">
      <c r="A3694" s="23" t="s">
        <v>113</v>
      </c>
    </row>
    <row r="3695">
      <c r="A3695" s="23" t="s">
        <v>85</v>
      </c>
    </row>
    <row r="3696">
      <c r="A3696" s="23" t="s">
        <v>77</v>
      </c>
    </row>
    <row r="3697">
      <c r="A3697" s="23" t="s">
        <v>69</v>
      </c>
    </row>
    <row r="3698">
      <c r="A3698" s="23" t="s">
        <v>81</v>
      </c>
    </row>
    <row r="3699">
      <c r="A3699" s="23" t="s">
        <v>132</v>
      </c>
    </row>
    <row r="3700">
      <c r="A3700" s="23" t="s">
        <v>34</v>
      </c>
    </row>
    <row r="3701">
      <c r="A3701" s="23" t="s">
        <v>109</v>
      </c>
    </row>
    <row r="3702">
      <c r="A3702" s="23" t="s">
        <v>160</v>
      </c>
    </row>
    <row r="3703">
      <c r="A3703" s="23" t="s">
        <v>12</v>
      </c>
    </row>
    <row r="3704">
      <c r="A3704" s="23" t="s">
        <v>64</v>
      </c>
    </row>
    <row r="3705">
      <c r="A3705" s="23" t="s">
        <v>28</v>
      </c>
    </row>
    <row r="3706">
      <c r="A3706" s="23" t="s">
        <v>83</v>
      </c>
    </row>
    <row r="3707">
      <c r="A3707" s="23" t="s">
        <v>62</v>
      </c>
    </row>
    <row r="3708">
      <c r="A3708" s="23" t="s">
        <v>163</v>
      </c>
    </row>
    <row r="3709">
      <c r="A3709" s="23" t="s">
        <v>32</v>
      </c>
    </row>
    <row r="3710">
      <c r="A3710" s="23" t="s">
        <v>158</v>
      </c>
    </row>
    <row r="3711">
      <c r="A3711" s="23" t="s">
        <v>77</v>
      </c>
    </row>
    <row r="3712">
      <c r="A3712" s="23" t="s">
        <v>81</v>
      </c>
    </row>
    <row r="3713">
      <c r="A3713" s="23" t="s">
        <v>37</v>
      </c>
    </row>
    <row r="3714">
      <c r="A3714" s="23" t="s">
        <v>34</v>
      </c>
    </row>
    <row r="3715">
      <c r="A3715" s="23" t="s">
        <v>109</v>
      </c>
    </row>
    <row r="3716">
      <c r="A3716" s="23" t="s">
        <v>160</v>
      </c>
    </row>
    <row r="3717">
      <c r="A3717" s="23" t="s">
        <v>119</v>
      </c>
    </row>
    <row r="3718">
      <c r="A3718" s="23" t="s">
        <v>152</v>
      </c>
    </row>
    <row r="3719">
      <c r="A3719" s="23" t="s">
        <v>32</v>
      </c>
    </row>
    <row r="3720">
      <c r="A3720" s="23" t="s">
        <v>43</v>
      </c>
    </row>
    <row r="3721">
      <c r="A3721" s="23" t="s">
        <v>158</v>
      </c>
    </row>
    <row r="3722">
      <c r="A3722" s="23" t="s">
        <v>69</v>
      </c>
    </row>
    <row r="3723">
      <c r="A3723" s="23" t="s">
        <v>81</v>
      </c>
    </row>
    <row r="3724">
      <c r="A3724" s="23" t="s">
        <v>37</v>
      </c>
    </row>
    <row r="3725">
      <c r="A3725" s="23" t="s">
        <v>34</v>
      </c>
    </row>
    <row r="3726">
      <c r="A3726" s="23" t="s">
        <v>99</v>
      </c>
    </row>
    <row r="3727">
      <c r="A3727" s="23" t="s">
        <v>109</v>
      </c>
    </row>
    <row r="3728">
      <c r="A3728" s="23" t="s">
        <v>160</v>
      </c>
    </row>
    <row r="3729">
      <c r="A3729" s="23" t="s">
        <v>119</v>
      </c>
    </row>
    <row r="3730">
      <c r="A3730" s="23" t="s">
        <v>28</v>
      </c>
    </row>
    <row r="3731">
      <c r="A3731" s="23" t="s">
        <v>49</v>
      </c>
    </row>
    <row r="3732">
      <c r="A3732" s="23" t="s">
        <v>83</v>
      </c>
    </row>
    <row r="3733">
      <c r="A3733" s="23" t="s">
        <v>62</v>
      </c>
    </row>
    <row r="3734">
      <c r="A3734" s="23" t="s">
        <v>163</v>
      </c>
    </row>
    <row r="3735">
      <c r="A3735" s="23" t="s">
        <v>24</v>
      </c>
    </row>
    <row r="3736">
      <c r="A3736" s="23" t="s">
        <v>152</v>
      </c>
    </row>
    <row r="3737">
      <c r="A3737" s="23" t="s">
        <v>32</v>
      </c>
    </row>
    <row r="3738">
      <c r="A3738" s="23" t="s">
        <v>43</v>
      </c>
    </row>
    <row r="3739">
      <c r="A3739" s="23" t="s">
        <v>77</v>
      </c>
    </row>
    <row r="3740">
      <c r="A3740" s="23" t="s">
        <v>69</v>
      </c>
    </row>
    <row r="3741">
      <c r="A3741" s="23" t="s">
        <v>81</v>
      </c>
    </row>
    <row r="3742">
      <c r="A3742" s="23" t="s">
        <v>109</v>
      </c>
    </row>
    <row r="3743">
      <c r="A3743" s="23" t="s">
        <v>163</v>
      </c>
    </row>
    <row r="3744">
      <c r="A3744" s="23" t="s">
        <v>152</v>
      </c>
    </row>
    <row r="3745">
      <c r="A3745" s="23" t="s">
        <v>43</v>
      </c>
    </row>
    <row r="3746">
      <c r="A3746" s="23" t="s">
        <v>158</v>
      </c>
    </row>
    <row r="3747">
      <c r="A3747" s="23" t="s">
        <v>77</v>
      </c>
    </row>
    <row r="3748">
      <c r="A3748" s="23" t="s">
        <v>69</v>
      </c>
    </row>
    <row r="3749">
      <c r="A3749" s="23" t="s">
        <v>81</v>
      </c>
    </row>
    <row r="3750">
      <c r="A3750" s="23" t="s">
        <v>37</v>
      </c>
    </row>
    <row r="3751">
      <c r="A3751" s="23" t="s">
        <v>96</v>
      </c>
    </row>
    <row r="3752">
      <c r="A3752" s="23" t="s">
        <v>109</v>
      </c>
    </row>
    <row r="3753">
      <c r="A3753" s="23" t="s">
        <v>119</v>
      </c>
    </row>
    <row r="3754">
      <c r="A3754" s="23" t="s">
        <v>64</v>
      </c>
    </row>
    <row r="3755">
      <c r="A3755" s="23" t="s">
        <v>28</v>
      </c>
    </row>
    <row r="3756">
      <c r="A3756" s="23" t="s">
        <v>49</v>
      </c>
    </row>
    <row r="3757">
      <c r="A3757" s="23" t="s">
        <v>83</v>
      </c>
    </row>
    <row r="3758">
      <c r="A3758" s="23" t="s">
        <v>62</v>
      </c>
    </row>
    <row r="3759">
      <c r="A3759" s="23" t="s">
        <v>152</v>
      </c>
    </row>
    <row r="3760">
      <c r="A3760" s="23" t="s">
        <v>32</v>
      </c>
    </row>
    <row r="3761">
      <c r="A3761" s="23" t="s">
        <v>43</v>
      </c>
    </row>
    <row r="3762">
      <c r="A3762" s="23" t="s">
        <v>96</v>
      </c>
    </row>
    <row r="3763">
      <c r="A3763" s="23" t="s">
        <v>109</v>
      </c>
    </row>
    <row r="3764">
      <c r="A3764" s="23" t="s">
        <v>160</v>
      </c>
    </row>
    <row r="3765">
      <c r="A3765" s="23" t="s">
        <v>64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1" t="s">
        <v>176</v>
      </c>
      <c r="D1" s="52">
        <v>46113.0</v>
      </c>
    </row>
    <row r="2">
      <c r="A2" s="53" t="s">
        <v>10</v>
      </c>
      <c r="B2" s="54" t="s">
        <v>14</v>
      </c>
      <c r="C2" s="55" t="s">
        <v>19</v>
      </c>
      <c r="D2" s="56" t="s">
        <v>177</v>
      </c>
    </row>
    <row r="3">
      <c r="A3" s="57" t="str">
        <f>IFERROR(__xludf.DUMMYFUNCTION("IFERROR(INDEX(FILTER($W:$W,$T:$T=$D$1,$U:$U=""기사"",$V:$V=ROW()-2),1),"""")"),"비에고")</f>
        <v>비에고</v>
      </c>
      <c r="B3" s="57" t="str">
        <f>IFERROR(__xludf.DUMMYFUNCTION("IFERROR(INDEX(FILTER($W:$W,$T:$T=$D$1,$U:$U=""마법사"",$V:$V=ROW()-2),1),"""")"),"스타")</f>
        <v>스타</v>
      </c>
      <c r="C3" s="57" t="str">
        <f>IFERROR(__xludf.DUMMYFUNCTION("IFERROR(INDEX(FILTER($W:$W,$T:$T=$D$1,$U:$U=""요정"",$V:$V=ROW()-2),1),"""")"),"파도")</f>
        <v>파도</v>
      </c>
      <c r="D3" s="58" t="s">
        <v>178</v>
      </c>
    </row>
    <row r="4">
      <c r="A4" s="57" t="str">
        <f>IFERROR(__xludf.DUMMYFUNCTION("IFERROR(INDEX(FILTER($W:$W,$T:$T=$D$1,$U:$U=""기사"",$V:$V=ROW()-2),1),"""")"),"대위덕명왕")</f>
        <v>대위덕명왕</v>
      </c>
      <c r="B4" s="57" t="str">
        <f>IFERROR(__xludf.DUMMYFUNCTION("IFERROR(INDEX(FILTER($W:$W,$T:$T=$D$1,$U:$U=""마법사"",$V:$V=ROW()-2),1),"""")"),"턳")</f>
        <v>턳</v>
      </c>
      <c r="C4" s="57" t="str">
        <f>IFERROR(__xludf.DUMMYFUNCTION("IFERROR(INDEX(FILTER($W:$W,$T:$T=$D$1,$U:$U=""요정"",$V:$V=ROW()-2),1),"""")"),"복식")</f>
        <v>복식</v>
      </c>
      <c r="D4" s="58" t="s">
        <v>179</v>
      </c>
    </row>
    <row r="5">
      <c r="A5" s="57" t="str">
        <f>IFERROR(__xludf.DUMMYFUNCTION("IFERROR(INDEX(FILTER($W:$W,$T:$T=$D$1,$U:$U=""기사"",$V:$V=ROW()-2),1),"""")"),"수")</f>
        <v>수</v>
      </c>
      <c r="B5" s="57" t="str">
        <f>IFERROR(__xludf.DUMMYFUNCTION("IFERROR(INDEX(FILTER($W:$W,$T:$T=$D$1,$U:$U=""마법사"",$V:$V=ROW()-2),1),"""")"),"시드랏슈")</f>
        <v>시드랏슈</v>
      </c>
      <c r="C5" s="57" t="str">
        <f>IFERROR(__xludf.DUMMYFUNCTION("IFERROR(INDEX(FILTER($W:$W,$T:$T=$D$1,$U:$U=""요정"",$V:$V=ROW()-2),1),"""")"),"OSAKA")</f>
        <v>OSAKA</v>
      </c>
      <c r="D5" s="58" t="s">
        <v>180</v>
      </c>
    </row>
    <row r="6">
      <c r="A6" s="57" t="str">
        <f>IFERROR(__xludf.DUMMYFUNCTION("IFERROR(INDEX(FILTER($W:$W,$T:$T=$D$1,$U:$U=""기사"",$V:$V=ROW()-2),1),"""")"),"듀크데필")</f>
        <v>듀크데필</v>
      </c>
      <c r="B6" s="57" t="str">
        <f>IFERROR(__xludf.DUMMYFUNCTION("IFERROR(INDEX(FILTER($W:$W,$T:$T=$D$1,$U:$U=""마법사"",$V:$V=ROW()-2),1),"""")"),"전생")</f>
        <v>전생</v>
      </c>
      <c r="C6" s="57" t="str">
        <f>IFERROR(__xludf.DUMMYFUNCTION("IFERROR(INDEX(FILTER($W:$W,$T:$T=$D$1,$U:$U=""요정"",$V:$V=ROW()-2),1),"""")"),"신문")</f>
        <v>신문</v>
      </c>
      <c r="D6" s="58" t="s">
        <v>181</v>
      </c>
    </row>
    <row r="7">
      <c r="A7" s="57" t="str">
        <f>IFERROR(__xludf.DUMMYFUNCTION("IFERROR(INDEX(FILTER($W:$W,$T:$T=$D$1,$U:$U=""기사"",$V:$V=ROW()-2),1),"""")"),"이중")</f>
        <v>이중</v>
      </c>
      <c r="B7" s="57" t="str">
        <f>IFERROR(__xludf.DUMMYFUNCTION("IFERROR(INDEX(FILTER($W:$W,$T:$T=$D$1,$U:$U=""마법사"",$V:$V=ROW()-2),1),"""")"),"두둥탁")</f>
        <v>두둥탁</v>
      </c>
      <c r="C7" s="57" t="str">
        <f>IFERROR(__xludf.DUMMYFUNCTION("IFERROR(INDEX(FILTER($W:$W,$T:$T=$D$1,$U:$U=""요정"",$V:$V=ROW()-2),1),"""")"),"대곡주")</f>
        <v>대곡주</v>
      </c>
      <c r="D7" s="58" t="s">
        <v>182</v>
      </c>
    </row>
    <row r="8">
      <c r="A8" s="57" t="str">
        <f>IFERROR(__xludf.DUMMYFUNCTION("IFERROR(INDEX(FILTER($W:$W,$T:$T=$D$1,$U:$U=""기사"",$V:$V=ROW()-2),1),"""")"),"자자")</f>
        <v>자자</v>
      </c>
      <c r="B8" s="57" t="str">
        <f>IFERROR(__xludf.DUMMYFUNCTION("IFERROR(INDEX(FILTER($W:$W,$T:$T=$D$1,$U:$U=""마법사"",$V:$V=ROW()-2),1),"""")"),"흑마술사")</f>
        <v>흑마술사</v>
      </c>
      <c r="C8" s="57" t="str">
        <f>IFERROR(__xludf.DUMMYFUNCTION("IFERROR(INDEX(FILTER($W:$W,$T:$T=$D$1,$U:$U=""요정"",$V:$V=ROW()-2),1),"""")"),"요요미")</f>
        <v>요요미</v>
      </c>
      <c r="D8" s="58" t="s">
        <v>183</v>
      </c>
    </row>
    <row r="9">
      <c r="A9" s="57" t="str">
        <f>IFERROR(__xludf.DUMMYFUNCTION("IFERROR(INDEX(FILTER($W:$W,$T:$T=$D$1,$U:$U=""기사"",$V:$V=ROW()-2),1),"""")"),"르비")</f>
        <v>르비</v>
      </c>
      <c r="B9" s="57" t="str">
        <f>IFERROR(__xludf.DUMMYFUNCTION("IFERROR(INDEX(FILTER($W:$W,$T:$T=$D$1,$U:$U=""마법사"",$V:$V=ROW()-2),1),"""")"),"교랑")</f>
        <v>교랑</v>
      </c>
      <c r="C9" s="57" t="str">
        <f>IFERROR(__xludf.DUMMYFUNCTION("IFERROR(INDEX(FILTER($W:$W,$T:$T=$D$1,$U:$U=""요정"",$V:$V=ROW()-2),1),"""")"),"하아이")</f>
        <v>하아이</v>
      </c>
      <c r="D9" s="58" t="s">
        <v>184</v>
      </c>
    </row>
    <row r="10">
      <c r="A10" s="57" t="str">
        <f>IFERROR(__xludf.DUMMYFUNCTION("IFERROR(INDEX(FILTER($W:$W,$T:$T=$D$1,$U:$U=""기사"",$V:$V=ROW()-2),1),"""")"),"문다")</f>
        <v>문다</v>
      </c>
      <c r="B10" s="57" t="str">
        <f>IFERROR(__xludf.DUMMYFUNCTION("IFERROR(INDEX(FILTER($W:$W,$T:$T=$D$1,$U:$U=""마법사"",$V:$V=ROW()-2),1),"""")"),"윤겔라")</f>
        <v>윤겔라</v>
      </c>
      <c r="C10" s="57" t="str">
        <f>IFERROR(__xludf.DUMMYFUNCTION("IFERROR(INDEX(FILTER($W:$W,$T:$T=$D$1,$U:$U=""요정"",$V:$V=ROW()-2),1),"""")"),"주짱")</f>
        <v>주짱</v>
      </c>
      <c r="D10" s="58" t="s">
        <v>185</v>
      </c>
    </row>
    <row r="11">
      <c r="A11" s="57" t="str">
        <f>IFERROR(__xludf.DUMMYFUNCTION("IFERROR(INDEX(FILTER($W:$W,$T:$T=$D$1,$U:$U=""기사"",$V:$V=ROW()-2),1),"""")"),"저팔게")</f>
        <v>저팔게</v>
      </c>
      <c r="B11" s="57" t="str">
        <f>IFERROR(__xludf.DUMMYFUNCTION("IFERROR(INDEX(FILTER($W:$W,$T:$T=$D$1,$U:$U=""마법사"",$V:$V=ROW()-2),1),"""")"),"어쩐지")</f>
        <v>어쩐지</v>
      </c>
      <c r="C11" s="57" t="str">
        <f>IFERROR(__xludf.DUMMYFUNCTION("IFERROR(INDEX(FILTER($W:$W,$T:$T=$D$1,$U:$U=""요정"",$V:$V=ROW()-2),1),"""")"),"쓰레빠")</f>
        <v>쓰레빠</v>
      </c>
      <c r="D11" s="58" t="s">
        <v>186</v>
      </c>
    </row>
    <row r="12">
      <c r="A12" s="57" t="str">
        <f>IFERROR(__xludf.DUMMYFUNCTION("IFERROR(INDEX(FILTER($W:$W,$T:$T=$D$1,$U:$U=""기사"",$V:$V=ROW()-2),1),"""")"),"내가군터")</f>
        <v>내가군터</v>
      </c>
      <c r="B12" s="57" t="str">
        <f>IFERROR(__xludf.DUMMYFUNCTION("IFERROR(INDEX(FILTER($W:$W,$T:$T=$D$1,$U:$U=""마법사"",$V:$V=ROW()-2),1),"""")"),"에바")</f>
        <v>에바</v>
      </c>
      <c r="C12" s="57" t="str">
        <f>IFERROR(__xludf.DUMMYFUNCTION("IFERROR(INDEX(FILTER($W:$W,$T:$T=$D$1,$U:$U=""요정"",$V:$V=ROW()-2),1),"""")"),"ECO")</f>
        <v>ECO</v>
      </c>
      <c r="D12" s="58" t="s">
        <v>187</v>
      </c>
    </row>
    <row r="13">
      <c r="T13" s="59">
        <v>46113.0</v>
      </c>
      <c r="U13" s="23" t="s">
        <v>14</v>
      </c>
      <c r="V13" s="60">
        <v>1.0</v>
      </c>
      <c r="W13" s="23" t="s">
        <v>66</v>
      </c>
    </row>
    <row r="14">
      <c r="T14" s="59">
        <v>46113.0</v>
      </c>
      <c r="U14" s="23" t="s">
        <v>14</v>
      </c>
      <c r="V14" s="60">
        <v>2.0</v>
      </c>
      <c r="W14" s="23" t="s">
        <v>141</v>
      </c>
    </row>
    <row r="15">
      <c r="T15" s="59">
        <v>46113.0</v>
      </c>
      <c r="U15" s="23" t="s">
        <v>14</v>
      </c>
      <c r="V15" s="60">
        <v>3.0</v>
      </c>
      <c r="W15" s="23" t="s">
        <v>75</v>
      </c>
    </row>
    <row r="16">
      <c r="T16" s="59">
        <v>46113.0</v>
      </c>
      <c r="U16" s="23" t="s">
        <v>14</v>
      </c>
      <c r="V16" s="60">
        <v>4.0</v>
      </c>
      <c r="W16" s="23" t="s">
        <v>125</v>
      </c>
    </row>
    <row r="17">
      <c r="T17" s="59">
        <v>46113.0</v>
      </c>
      <c r="U17" s="23" t="s">
        <v>14</v>
      </c>
      <c r="V17" s="60">
        <v>5.0</v>
      </c>
      <c r="W17" s="23" t="s">
        <v>33</v>
      </c>
    </row>
    <row r="18">
      <c r="T18" s="59">
        <v>46113.0</v>
      </c>
      <c r="U18" s="23" t="s">
        <v>14</v>
      </c>
      <c r="V18" s="60">
        <v>6.0</v>
      </c>
      <c r="W18" s="23" t="s">
        <v>165</v>
      </c>
    </row>
    <row r="19">
      <c r="T19" s="59">
        <v>46113.0</v>
      </c>
      <c r="U19" s="23" t="s">
        <v>14</v>
      </c>
      <c r="V19" s="60">
        <v>7.0</v>
      </c>
      <c r="W19" s="23" t="s">
        <v>188</v>
      </c>
    </row>
    <row r="20">
      <c r="T20" s="59">
        <v>46113.0</v>
      </c>
      <c r="U20" s="23" t="s">
        <v>14</v>
      </c>
      <c r="V20" s="60">
        <v>8.0</v>
      </c>
      <c r="W20" s="23" t="s">
        <v>114</v>
      </c>
    </row>
    <row r="21">
      <c r="T21" s="59">
        <v>46113.0</v>
      </c>
      <c r="U21" s="23" t="s">
        <v>14</v>
      </c>
      <c r="V21" s="60">
        <v>9.0</v>
      </c>
      <c r="W21" s="23" t="s">
        <v>95</v>
      </c>
    </row>
    <row r="22">
      <c r="T22" s="59">
        <v>46113.0</v>
      </c>
      <c r="U22" s="23" t="s">
        <v>14</v>
      </c>
      <c r="V22" s="60">
        <v>10.0</v>
      </c>
      <c r="W22" s="23" t="s">
        <v>101</v>
      </c>
    </row>
    <row r="23">
      <c r="T23" s="59">
        <v>46113.0</v>
      </c>
      <c r="U23" s="23" t="s">
        <v>19</v>
      </c>
      <c r="V23" s="60">
        <v>1.0</v>
      </c>
      <c r="W23" s="23" t="s">
        <v>189</v>
      </c>
    </row>
    <row r="24">
      <c r="T24" s="59">
        <v>46113.0</v>
      </c>
      <c r="U24" s="23" t="s">
        <v>19</v>
      </c>
      <c r="V24" s="60">
        <v>2.0</v>
      </c>
      <c r="W24" s="23" t="s">
        <v>52</v>
      </c>
    </row>
    <row r="25">
      <c r="T25" s="59">
        <v>46113.0</v>
      </c>
      <c r="U25" s="23" t="s">
        <v>19</v>
      </c>
      <c r="V25" s="60">
        <v>3.0</v>
      </c>
      <c r="W25" s="23" t="s">
        <v>162</v>
      </c>
    </row>
    <row r="26">
      <c r="T26" s="59">
        <v>46113.0</v>
      </c>
      <c r="U26" s="23" t="s">
        <v>19</v>
      </c>
      <c r="V26" s="60">
        <v>4.0</v>
      </c>
      <c r="W26" s="23" t="s">
        <v>80</v>
      </c>
    </row>
    <row r="27">
      <c r="T27" s="59">
        <v>46113.0</v>
      </c>
      <c r="U27" s="23" t="s">
        <v>19</v>
      </c>
      <c r="V27" s="60">
        <v>5.0</v>
      </c>
      <c r="W27" s="23" t="s">
        <v>27</v>
      </c>
    </row>
    <row r="28">
      <c r="T28" s="59">
        <v>46113.0</v>
      </c>
      <c r="U28" s="23" t="s">
        <v>19</v>
      </c>
      <c r="V28" s="60">
        <v>6.0</v>
      </c>
      <c r="W28" s="23" t="s">
        <v>105</v>
      </c>
    </row>
    <row r="29">
      <c r="T29" s="59">
        <v>46113.0</v>
      </c>
      <c r="U29" s="23" t="s">
        <v>19</v>
      </c>
      <c r="V29" s="60">
        <v>7.0</v>
      </c>
      <c r="W29" s="23" t="s">
        <v>151</v>
      </c>
    </row>
    <row r="30">
      <c r="T30" s="59">
        <v>46113.0</v>
      </c>
      <c r="U30" s="23" t="s">
        <v>19</v>
      </c>
      <c r="V30" s="60">
        <v>8.0</v>
      </c>
      <c r="W30" s="23" t="s">
        <v>131</v>
      </c>
    </row>
    <row r="31">
      <c r="T31" s="59">
        <v>46113.0</v>
      </c>
      <c r="U31" s="23" t="s">
        <v>19</v>
      </c>
      <c r="V31" s="60">
        <v>9.0</v>
      </c>
      <c r="W31" s="23" t="s">
        <v>190</v>
      </c>
    </row>
    <row r="32">
      <c r="T32" s="59">
        <v>46113.0</v>
      </c>
      <c r="U32" s="23" t="s">
        <v>19</v>
      </c>
      <c r="V32" s="60">
        <v>10.0</v>
      </c>
      <c r="W32" s="23" t="s">
        <v>159</v>
      </c>
    </row>
    <row r="33">
      <c r="T33" s="59">
        <v>46113.0</v>
      </c>
      <c r="U33" s="23" t="s">
        <v>10</v>
      </c>
      <c r="V33" s="60">
        <v>1.0</v>
      </c>
      <c r="W33" s="23" t="s">
        <v>56</v>
      </c>
    </row>
    <row r="34">
      <c r="T34" s="59">
        <v>46113.0</v>
      </c>
      <c r="U34" s="23" t="s">
        <v>10</v>
      </c>
      <c r="V34" s="60">
        <v>2.0</v>
      </c>
      <c r="W34" s="23" t="s">
        <v>38</v>
      </c>
    </row>
    <row r="35">
      <c r="T35" s="59">
        <v>46113.0</v>
      </c>
      <c r="U35" s="23" t="s">
        <v>10</v>
      </c>
      <c r="V35" s="60">
        <v>3.0</v>
      </c>
      <c r="W35" s="23" t="s">
        <v>191</v>
      </c>
    </row>
    <row r="36">
      <c r="T36" s="59">
        <v>46113.0</v>
      </c>
      <c r="U36" s="23" t="s">
        <v>10</v>
      </c>
      <c r="V36" s="60">
        <v>4.0</v>
      </c>
      <c r="W36" s="23" t="s">
        <v>192</v>
      </c>
    </row>
    <row r="37">
      <c r="T37" s="59">
        <v>46113.0</v>
      </c>
      <c r="U37" s="23" t="s">
        <v>10</v>
      </c>
      <c r="V37" s="60">
        <v>5.0</v>
      </c>
      <c r="W37" s="23" t="s">
        <v>115</v>
      </c>
    </row>
    <row r="38">
      <c r="T38" s="59">
        <v>46113.0</v>
      </c>
      <c r="U38" s="23" t="s">
        <v>10</v>
      </c>
      <c r="V38" s="60">
        <v>6.0</v>
      </c>
      <c r="W38" s="23" t="s">
        <v>118</v>
      </c>
    </row>
    <row r="39">
      <c r="T39" s="59">
        <v>46113.0</v>
      </c>
      <c r="U39" s="23" t="s">
        <v>10</v>
      </c>
      <c r="V39" s="60">
        <v>7.0</v>
      </c>
      <c r="W39" s="23" t="s">
        <v>193</v>
      </c>
    </row>
    <row r="40">
      <c r="T40" s="59">
        <v>46113.0</v>
      </c>
      <c r="U40" s="23" t="s">
        <v>10</v>
      </c>
      <c r="V40" s="60">
        <v>8.0</v>
      </c>
      <c r="W40" s="23" t="s">
        <v>194</v>
      </c>
    </row>
    <row r="41">
      <c r="T41" s="59">
        <v>46113.0</v>
      </c>
      <c r="U41" s="23" t="s">
        <v>10</v>
      </c>
      <c r="V41" s="60">
        <v>9.0</v>
      </c>
      <c r="W41" s="23" t="s">
        <v>127</v>
      </c>
    </row>
    <row r="42">
      <c r="T42" s="59">
        <v>46113.0</v>
      </c>
      <c r="U42" s="23" t="s">
        <v>10</v>
      </c>
      <c r="V42" s="60">
        <v>10.0</v>
      </c>
      <c r="W42" s="23" t="s">
        <v>195</v>
      </c>
    </row>
    <row r="43">
      <c r="T43" s="59">
        <v>46113.0</v>
      </c>
      <c r="U43" s="23" t="s">
        <v>150</v>
      </c>
      <c r="V43" s="60">
        <v>1.0</v>
      </c>
      <c r="W43" s="23" t="s">
        <v>149</v>
      </c>
    </row>
    <row r="44">
      <c r="T44" s="59">
        <v>46113.0</v>
      </c>
      <c r="U44" s="23" t="s">
        <v>14</v>
      </c>
      <c r="V44" s="60">
        <v>1.0</v>
      </c>
      <c r="W44" s="23" t="s">
        <v>66</v>
      </c>
    </row>
    <row r="45">
      <c r="T45" s="59">
        <v>46113.0</v>
      </c>
      <c r="U45" s="23" t="s">
        <v>14</v>
      </c>
      <c r="V45" s="60">
        <v>2.0</v>
      </c>
      <c r="W45" s="23" t="s">
        <v>141</v>
      </c>
    </row>
    <row r="46">
      <c r="T46" s="59">
        <v>46113.0</v>
      </c>
      <c r="U46" s="23" t="s">
        <v>14</v>
      </c>
      <c r="V46" s="60">
        <v>3.0</v>
      </c>
      <c r="W46" s="23" t="s">
        <v>75</v>
      </c>
    </row>
    <row r="47">
      <c r="T47" s="59">
        <v>46113.0</v>
      </c>
      <c r="U47" s="23" t="s">
        <v>14</v>
      </c>
      <c r="V47" s="60">
        <v>4.0</v>
      </c>
      <c r="W47" s="23" t="s">
        <v>125</v>
      </c>
    </row>
    <row r="48">
      <c r="T48" s="59">
        <v>46113.0</v>
      </c>
      <c r="U48" s="23" t="s">
        <v>14</v>
      </c>
      <c r="V48" s="60">
        <v>5.0</v>
      </c>
      <c r="W48" s="23" t="s">
        <v>33</v>
      </c>
    </row>
    <row r="49">
      <c r="T49" s="59">
        <v>46113.0</v>
      </c>
      <c r="U49" s="23" t="s">
        <v>14</v>
      </c>
      <c r="V49" s="60">
        <v>6.0</v>
      </c>
      <c r="W49" s="23" t="s">
        <v>165</v>
      </c>
    </row>
    <row r="50">
      <c r="T50" s="59">
        <v>46113.0</v>
      </c>
      <c r="U50" s="23" t="s">
        <v>14</v>
      </c>
      <c r="V50" s="60">
        <v>7.0</v>
      </c>
      <c r="W50" s="23" t="s">
        <v>188</v>
      </c>
    </row>
    <row r="51">
      <c r="T51" s="59">
        <v>46113.0</v>
      </c>
      <c r="U51" s="23" t="s">
        <v>14</v>
      </c>
      <c r="V51" s="60">
        <v>8.0</v>
      </c>
      <c r="W51" s="23" t="s">
        <v>114</v>
      </c>
    </row>
    <row r="52">
      <c r="T52" s="59">
        <v>46113.0</v>
      </c>
      <c r="U52" s="23" t="s">
        <v>14</v>
      </c>
      <c r="V52" s="60">
        <v>9.0</v>
      </c>
      <c r="W52" s="23" t="s">
        <v>95</v>
      </c>
    </row>
    <row r="53">
      <c r="T53" s="59">
        <v>46113.0</v>
      </c>
      <c r="U53" s="23" t="s">
        <v>14</v>
      </c>
      <c r="V53" s="60">
        <v>10.0</v>
      </c>
      <c r="W53" s="23" t="s">
        <v>101</v>
      </c>
    </row>
    <row r="54">
      <c r="T54" s="59">
        <v>46113.0</v>
      </c>
      <c r="U54" s="23" t="s">
        <v>19</v>
      </c>
      <c r="V54" s="60">
        <v>1.0</v>
      </c>
      <c r="W54" s="23" t="s">
        <v>189</v>
      </c>
    </row>
    <row r="55">
      <c r="T55" s="59">
        <v>46113.0</v>
      </c>
      <c r="U55" s="23" t="s">
        <v>19</v>
      </c>
      <c r="V55" s="60">
        <v>2.0</v>
      </c>
      <c r="W55" s="23" t="s">
        <v>52</v>
      </c>
    </row>
    <row r="56">
      <c r="T56" s="59">
        <v>46113.0</v>
      </c>
      <c r="U56" s="23" t="s">
        <v>19</v>
      </c>
      <c r="V56" s="60">
        <v>3.0</v>
      </c>
      <c r="W56" s="23" t="s">
        <v>162</v>
      </c>
    </row>
    <row r="57">
      <c r="T57" s="59">
        <v>46113.0</v>
      </c>
      <c r="U57" s="23" t="s">
        <v>19</v>
      </c>
      <c r="V57" s="60">
        <v>4.0</v>
      </c>
      <c r="W57" s="23" t="s">
        <v>80</v>
      </c>
    </row>
    <row r="58">
      <c r="T58" s="59">
        <v>46113.0</v>
      </c>
      <c r="U58" s="23" t="s">
        <v>19</v>
      </c>
      <c r="V58" s="60">
        <v>5.0</v>
      </c>
      <c r="W58" s="23" t="s">
        <v>27</v>
      </c>
    </row>
    <row r="59">
      <c r="T59" s="59">
        <v>46113.0</v>
      </c>
      <c r="U59" s="23" t="s">
        <v>19</v>
      </c>
      <c r="V59" s="60">
        <v>6.0</v>
      </c>
      <c r="W59" s="23" t="s">
        <v>105</v>
      </c>
    </row>
    <row r="60">
      <c r="T60" s="59">
        <v>46113.0</v>
      </c>
      <c r="U60" s="23" t="s">
        <v>19</v>
      </c>
      <c r="V60" s="60">
        <v>7.0</v>
      </c>
      <c r="W60" s="23" t="s">
        <v>151</v>
      </c>
    </row>
    <row r="61">
      <c r="T61" s="59">
        <v>46113.0</v>
      </c>
      <c r="U61" s="23" t="s">
        <v>19</v>
      </c>
      <c r="V61" s="60">
        <v>8.0</v>
      </c>
      <c r="W61" s="23" t="s">
        <v>131</v>
      </c>
    </row>
    <row r="62">
      <c r="T62" s="59">
        <v>46113.0</v>
      </c>
      <c r="U62" s="23" t="s">
        <v>19</v>
      </c>
      <c r="V62" s="60">
        <v>9.0</v>
      </c>
      <c r="W62" s="23" t="s">
        <v>190</v>
      </c>
    </row>
    <row r="63">
      <c r="T63" s="59">
        <v>46113.0</v>
      </c>
      <c r="U63" s="23" t="s">
        <v>19</v>
      </c>
      <c r="V63" s="60">
        <v>10.0</v>
      </c>
      <c r="W63" s="23" t="s">
        <v>159</v>
      </c>
    </row>
    <row r="64">
      <c r="T64" s="59">
        <v>46113.0</v>
      </c>
      <c r="U64" s="23" t="s">
        <v>10</v>
      </c>
      <c r="V64" s="60">
        <v>1.0</v>
      </c>
      <c r="W64" s="23" t="s">
        <v>56</v>
      </c>
    </row>
    <row r="65">
      <c r="T65" s="59">
        <v>46113.0</v>
      </c>
      <c r="U65" s="23" t="s">
        <v>10</v>
      </c>
      <c r="V65" s="60">
        <v>2.0</v>
      </c>
      <c r="W65" s="23" t="s">
        <v>38</v>
      </c>
    </row>
    <row r="66">
      <c r="T66" s="59">
        <v>46113.0</v>
      </c>
      <c r="U66" s="23" t="s">
        <v>10</v>
      </c>
      <c r="V66" s="60">
        <v>3.0</v>
      </c>
      <c r="W66" s="23" t="s">
        <v>191</v>
      </c>
    </row>
    <row r="67">
      <c r="T67" s="59">
        <v>46113.0</v>
      </c>
      <c r="U67" s="23" t="s">
        <v>10</v>
      </c>
      <c r="V67" s="60">
        <v>4.0</v>
      </c>
      <c r="W67" s="23" t="s">
        <v>192</v>
      </c>
    </row>
    <row r="68">
      <c r="T68" s="59">
        <v>46113.0</v>
      </c>
      <c r="U68" s="23" t="s">
        <v>10</v>
      </c>
      <c r="V68" s="60">
        <v>5.0</v>
      </c>
      <c r="W68" s="23" t="s">
        <v>115</v>
      </c>
    </row>
    <row r="69">
      <c r="T69" s="59">
        <v>46113.0</v>
      </c>
      <c r="U69" s="23" t="s">
        <v>10</v>
      </c>
      <c r="V69" s="60">
        <v>6.0</v>
      </c>
      <c r="W69" s="23" t="s">
        <v>118</v>
      </c>
    </row>
    <row r="70">
      <c r="T70" s="59">
        <v>46113.0</v>
      </c>
      <c r="U70" s="23" t="s">
        <v>10</v>
      </c>
      <c r="V70" s="60">
        <v>7.0</v>
      </c>
      <c r="W70" s="23" t="s">
        <v>193</v>
      </c>
    </row>
    <row r="71">
      <c r="T71" s="59">
        <v>46113.0</v>
      </c>
      <c r="U71" s="23" t="s">
        <v>10</v>
      </c>
      <c r="V71" s="60">
        <v>8.0</v>
      </c>
      <c r="W71" s="23" t="s">
        <v>194</v>
      </c>
    </row>
    <row r="72">
      <c r="T72" s="59">
        <v>46113.0</v>
      </c>
      <c r="U72" s="23" t="s">
        <v>10</v>
      </c>
      <c r="V72" s="60">
        <v>9.0</v>
      </c>
      <c r="W72" s="23" t="s">
        <v>127</v>
      </c>
    </row>
    <row r="73">
      <c r="T73" s="59">
        <v>46113.0</v>
      </c>
      <c r="U73" s="23" t="s">
        <v>10</v>
      </c>
      <c r="V73" s="60">
        <v>10.0</v>
      </c>
      <c r="W73" s="23" t="s">
        <v>195</v>
      </c>
    </row>
    <row r="74">
      <c r="T74" s="59">
        <v>46113.0</v>
      </c>
      <c r="U74" s="23" t="s">
        <v>150</v>
      </c>
      <c r="V74" s="60">
        <v>1.0</v>
      </c>
      <c r="W74" s="23" t="s">
        <v>149</v>
      </c>
    </row>
    <row r="75">
      <c r="T75" s="59">
        <v>46113.0</v>
      </c>
      <c r="U75" s="23" t="s">
        <v>14</v>
      </c>
      <c r="V75" s="60">
        <v>1.0</v>
      </c>
      <c r="W75" s="23" t="s">
        <v>66</v>
      </c>
    </row>
    <row r="76">
      <c r="T76" s="59">
        <v>46113.0</v>
      </c>
      <c r="U76" s="23" t="s">
        <v>14</v>
      </c>
      <c r="V76" s="60">
        <v>2.0</v>
      </c>
      <c r="W76" s="23" t="s">
        <v>141</v>
      </c>
    </row>
    <row r="77">
      <c r="T77" s="59">
        <v>46113.0</v>
      </c>
      <c r="U77" s="23" t="s">
        <v>14</v>
      </c>
      <c r="V77" s="60">
        <v>3.0</v>
      </c>
      <c r="W77" s="23" t="s">
        <v>75</v>
      </c>
    </row>
    <row r="78">
      <c r="T78" s="59">
        <v>46113.0</v>
      </c>
      <c r="U78" s="23" t="s">
        <v>14</v>
      </c>
      <c r="V78" s="60">
        <v>4.0</v>
      </c>
      <c r="W78" s="23" t="s">
        <v>125</v>
      </c>
    </row>
    <row r="79">
      <c r="T79" s="59">
        <v>46113.0</v>
      </c>
      <c r="U79" s="23" t="s">
        <v>14</v>
      </c>
      <c r="V79" s="60">
        <v>5.0</v>
      </c>
      <c r="W79" s="23" t="s">
        <v>33</v>
      </c>
    </row>
    <row r="80">
      <c r="T80" s="59">
        <v>46113.0</v>
      </c>
      <c r="U80" s="23" t="s">
        <v>14</v>
      </c>
      <c r="V80" s="60">
        <v>6.0</v>
      </c>
      <c r="W80" s="23" t="s">
        <v>165</v>
      </c>
    </row>
    <row r="81">
      <c r="T81" s="59">
        <v>46113.0</v>
      </c>
      <c r="U81" s="23" t="s">
        <v>14</v>
      </c>
      <c r="V81" s="60">
        <v>7.0</v>
      </c>
      <c r="W81" s="23" t="s">
        <v>188</v>
      </c>
    </row>
    <row r="82">
      <c r="T82" s="59">
        <v>46113.0</v>
      </c>
      <c r="U82" s="23" t="s">
        <v>14</v>
      </c>
      <c r="V82" s="60">
        <v>8.0</v>
      </c>
      <c r="W82" s="23" t="s">
        <v>114</v>
      </c>
    </row>
    <row r="83">
      <c r="T83" s="59">
        <v>46113.0</v>
      </c>
      <c r="U83" s="23" t="s">
        <v>14</v>
      </c>
      <c r="V83" s="60">
        <v>9.0</v>
      </c>
      <c r="W83" s="23" t="s">
        <v>95</v>
      </c>
    </row>
    <row r="84">
      <c r="T84" s="59">
        <v>46113.0</v>
      </c>
      <c r="U84" s="23" t="s">
        <v>14</v>
      </c>
      <c r="V84" s="60">
        <v>10.0</v>
      </c>
      <c r="W84" s="23" t="s">
        <v>101</v>
      </c>
    </row>
    <row r="85">
      <c r="T85" s="59">
        <v>46113.0</v>
      </c>
      <c r="U85" s="23" t="s">
        <v>19</v>
      </c>
      <c r="V85" s="60">
        <v>1.0</v>
      </c>
      <c r="W85" s="23" t="s">
        <v>189</v>
      </c>
    </row>
    <row r="86">
      <c r="T86" s="59">
        <v>46113.0</v>
      </c>
      <c r="U86" s="23" t="s">
        <v>19</v>
      </c>
      <c r="V86" s="60">
        <v>2.0</v>
      </c>
      <c r="W86" s="23" t="s">
        <v>52</v>
      </c>
    </row>
    <row r="87">
      <c r="T87" s="59">
        <v>46113.0</v>
      </c>
      <c r="U87" s="23" t="s">
        <v>19</v>
      </c>
      <c r="V87" s="60">
        <v>3.0</v>
      </c>
      <c r="W87" s="23" t="s">
        <v>162</v>
      </c>
    </row>
    <row r="88">
      <c r="T88" s="59">
        <v>46113.0</v>
      </c>
      <c r="U88" s="23" t="s">
        <v>19</v>
      </c>
      <c r="V88" s="60">
        <v>4.0</v>
      </c>
      <c r="W88" s="23" t="s">
        <v>80</v>
      </c>
    </row>
    <row r="89">
      <c r="T89" s="59">
        <v>46113.0</v>
      </c>
      <c r="U89" s="23" t="s">
        <v>19</v>
      </c>
      <c r="V89" s="60">
        <v>5.0</v>
      </c>
      <c r="W89" s="23" t="s">
        <v>27</v>
      </c>
    </row>
    <row r="90">
      <c r="T90" s="59">
        <v>46113.0</v>
      </c>
      <c r="U90" s="23" t="s">
        <v>19</v>
      </c>
      <c r="V90" s="60">
        <v>6.0</v>
      </c>
      <c r="W90" s="23" t="s">
        <v>105</v>
      </c>
    </row>
    <row r="91">
      <c r="T91" s="59">
        <v>46113.0</v>
      </c>
      <c r="U91" s="23" t="s">
        <v>19</v>
      </c>
      <c r="V91" s="60">
        <v>7.0</v>
      </c>
      <c r="W91" s="23" t="s">
        <v>151</v>
      </c>
    </row>
    <row r="92">
      <c r="T92" s="59">
        <v>46113.0</v>
      </c>
      <c r="U92" s="23" t="s">
        <v>19</v>
      </c>
      <c r="V92" s="60">
        <v>8.0</v>
      </c>
      <c r="W92" s="23" t="s">
        <v>131</v>
      </c>
    </row>
    <row r="93">
      <c r="T93" s="59">
        <v>46113.0</v>
      </c>
      <c r="U93" s="23" t="s">
        <v>19</v>
      </c>
      <c r="V93" s="60">
        <v>9.0</v>
      </c>
      <c r="W93" s="23" t="s">
        <v>190</v>
      </c>
    </row>
    <row r="94">
      <c r="T94" s="59">
        <v>46113.0</v>
      </c>
      <c r="U94" s="23" t="s">
        <v>19</v>
      </c>
      <c r="V94" s="60">
        <v>10.0</v>
      </c>
      <c r="W94" s="23" t="s">
        <v>159</v>
      </c>
    </row>
    <row r="95">
      <c r="T95" s="59">
        <v>46113.0</v>
      </c>
      <c r="U95" s="23" t="s">
        <v>10</v>
      </c>
      <c r="V95" s="60">
        <v>1.0</v>
      </c>
      <c r="W95" s="23" t="s">
        <v>56</v>
      </c>
    </row>
    <row r="96">
      <c r="T96" s="59">
        <v>46113.0</v>
      </c>
      <c r="U96" s="23" t="s">
        <v>10</v>
      </c>
      <c r="V96" s="60">
        <v>2.0</v>
      </c>
      <c r="W96" s="23" t="s">
        <v>38</v>
      </c>
    </row>
    <row r="97">
      <c r="T97" s="59">
        <v>46113.0</v>
      </c>
      <c r="U97" s="23" t="s">
        <v>10</v>
      </c>
      <c r="V97" s="60">
        <v>3.0</v>
      </c>
      <c r="W97" s="23" t="s">
        <v>191</v>
      </c>
    </row>
    <row r="98">
      <c r="T98" s="59">
        <v>46113.0</v>
      </c>
      <c r="U98" s="23" t="s">
        <v>10</v>
      </c>
      <c r="V98" s="60">
        <v>4.0</v>
      </c>
      <c r="W98" s="23" t="s">
        <v>192</v>
      </c>
    </row>
    <row r="99">
      <c r="T99" s="59">
        <v>46113.0</v>
      </c>
      <c r="U99" s="23" t="s">
        <v>10</v>
      </c>
      <c r="V99" s="60">
        <v>5.0</v>
      </c>
      <c r="W99" s="23" t="s">
        <v>115</v>
      </c>
    </row>
    <row r="100">
      <c r="T100" s="59">
        <v>46113.0</v>
      </c>
      <c r="U100" s="23" t="s">
        <v>10</v>
      </c>
      <c r="V100" s="60">
        <v>6.0</v>
      </c>
      <c r="W100" s="23" t="s">
        <v>118</v>
      </c>
    </row>
    <row r="101">
      <c r="T101" s="59">
        <v>46113.0</v>
      </c>
      <c r="U101" s="23" t="s">
        <v>10</v>
      </c>
      <c r="V101" s="60">
        <v>7.0</v>
      </c>
      <c r="W101" s="23" t="s">
        <v>193</v>
      </c>
    </row>
    <row r="102">
      <c r="T102" s="59">
        <v>46113.0</v>
      </c>
      <c r="U102" s="23" t="s">
        <v>10</v>
      </c>
      <c r="V102" s="60">
        <v>8.0</v>
      </c>
      <c r="W102" s="23" t="s">
        <v>194</v>
      </c>
    </row>
    <row r="103">
      <c r="T103" s="59">
        <v>46113.0</v>
      </c>
      <c r="U103" s="23" t="s">
        <v>10</v>
      </c>
      <c r="V103" s="60">
        <v>9.0</v>
      </c>
      <c r="W103" s="23" t="s">
        <v>127</v>
      </c>
    </row>
    <row r="104">
      <c r="T104" s="59">
        <v>46113.0</v>
      </c>
      <c r="U104" s="23" t="s">
        <v>10</v>
      </c>
      <c r="V104" s="60">
        <v>10.0</v>
      </c>
      <c r="W104" s="23" t="s">
        <v>195</v>
      </c>
    </row>
    <row r="105">
      <c r="T105" s="59">
        <v>46113.0</v>
      </c>
      <c r="U105" s="23" t="s">
        <v>150</v>
      </c>
      <c r="V105" s="60">
        <v>1.0</v>
      </c>
      <c r="W105" s="23" t="s">
        <v>149</v>
      </c>
    </row>
  </sheetData>
  <mergeCells count="1">
    <mergeCell ref="A1:C1"/>
  </mergeCells>
  <dataValidations>
    <dataValidation type="list" allowBlank="1" showErrorMessage="1" sqref="D1">
      <formula1>"2026-04,2026-05,2026-06,2026-07,2026-08,2026-09,2026-10,2026-11,2026-12"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1"/>
    </row>
  </sheetData>
  <mergeCells count="1">
    <mergeCell ref="A1:G18"/>
  </mergeCells>
  <drawing r:id="rId1"/>
</worksheet>
</file>